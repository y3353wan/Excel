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yuzhuowang/Downloads/"/>
    </mc:Choice>
  </mc:AlternateContent>
  <xr:revisionPtr revIDLastSave="0" documentId="8_{7F62A235-E089-B544-97C7-1E45E558710F}" xr6:coauthVersionLast="45" xr6:coauthVersionMax="45" xr10:uidLastSave="{00000000-0000-0000-0000-000000000000}"/>
  <bookViews>
    <workbookView xWindow="0" yWindow="460" windowWidth="25600" windowHeight="14580" activeTab="2" xr2:uid="{00000000-000D-0000-FFFF-FFFF00000000}"/>
  </bookViews>
  <sheets>
    <sheet name="UserInteraction" sheetId="12" state="hidden" r:id="rId1"/>
    <sheet name="NestedLoop" sheetId="15" state="hidden" r:id="rId2"/>
    <sheet name="Timeline" sheetId="18" r:id="rId3"/>
    <sheet name="StatusReport" sheetId="19" r:id="rId4"/>
    <sheet name="Original sheet" sheetId="22" r:id="rId5"/>
    <sheet name="Homework" sheetId="10" state="hidden" r:id="rId6"/>
  </sheets>
  <externalReferences>
    <externalReference r:id="rId7"/>
  </externalReferences>
  <definedNames>
    <definedName name="_xlnm._FilterDatabase" localSheetId="2" hidden="1">Timeline!$A$3:$N$3</definedName>
    <definedName name="Day">#REF!</definedName>
    <definedName name="Direction">#REF!</definedName>
    <definedName name="DynamicMonth">OFFSET('[1]Report 1'!$A$4,COUNTA('[1]Report 1'!$A$4:$A$30)-12,0,12,1)</definedName>
    <definedName name="DynamicSales">OFFSET('[1]Report 1'!$B$4,COUNTA('[1]Report 1'!$B$4:$B$1048576)-12,0,12,1)</definedName>
    <definedName name="FundSales">OFFSET('[1]Report 3'!$H$8,0,0,COUNTA('[1]Report 3'!$H$8:$H$103),1)</definedName>
    <definedName name="MyCell">#REF!</definedName>
    <definedName name="MySheet">#REF!</definedName>
    <definedName name="Operation">#REF!</definedName>
    <definedName name="Path">#REF!</definedName>
    <definedName name="Price">#REF!</definedName>
    <definedName name="Regular_Price">#REF!</definedName>
    <definedName name="Report1Date">OFFSET('[1]Report 1'!$A$4,COUNTA('[1]Report 1'!$A$4:$A$1048576)-12,0,12,1)</definedName>
    <definedName name="Report1Range">OFFSET('[1]Report 1'!$B$4,COUNTA('[1]Report 1'!$B$4:$B$1048576)-12,0,12,1)</definedName>
    <definedName name="Report2Date">OFFSET('[1]Report 2'!$A$3,MATCH('[1]Report 2'!$E$3,'[1]Report 2'!$A$3:$A$87,0)-1,0,'[1]Report 2'!$E$4,1)</definedName>
    <definedName name="Report2Range">OFFSET('[1]Report 2'!$B$3,MATCH('[1]Report 2'!$E$3,'[1]Report 2'!$A$4:$A$87,0),0,'[1]Report 2'!$E$4,1)</definedName>
    <definedName name="ReportRange">StatusReport!$A$3:$G$25</definedName>
    <definedName name="Result">#REF!</definedName>
    <definedName name="Season">#REF!</definedName>
    <definedName name="X_Value">#REF!</definedName>
    <definedName name="Y_Valu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22" l="1"/>
  <c r="H16" i="22"/>
  <c r="H15" i="22"/>
  <c r="H14" i="22"/>
  <c r="H13" i="22"/>
  <c r="H12" i="22"/>
  <c r="H11" i="22"/>
  <c r="H10" i="22"/>
  <c r="H9" i="22"/>
  <c r="H8" i="22"/>
  <c r="H7" i="22"/>
  <c r="H6" i="22"/>
  <c r="H5" i="22"/>
  <c r="H4" i="22"/>
  <c r="H3" i="22"/>
  <c r="I2" i="18" l="1"/>
  <c r="H17" i="19" l="1"/>
  <c r="H16" i="19"/>
  <c r="H15" i="19"/>
  <c r="H14" i="19"/>
  <c r="H13" i="19"/>
  <c r="H12" i="19"/>
  <c r="H11" i="19"/>
  <c r="H10" i="19"/>
  <c r="H9" i="19"/>
  <c r="H8" i="19"/>
  <c r="H7" i="19"/>
  <c r="H6" i="19"/>
  <c r="H5" i="19"/>
  <c r="H4" i="19"/>
  <c r="H3" i="19"/>
  <c r="F226" i="18"/>
  <c r="F225" i="18"/>
  <c r="F224" i="18"/>
  <c r="F223" i="18"/>
  <c r="F222" i="18"/>
  <c r="F221" i="18"/>
  <c r="F220" i="18"/>
  <c r="F219" i="18"/>
  <c r="F218" i="18"/>
  <c r="F217" i="18"/>
  <c r="F216" i="18"/>
  <c r="F215" i="18"/>
  <c r="F214" i="18"/>
  <c r="F213" i="18"/>
  <c r="F212" i="18"/>
  <c r="F211" i="18"/>
  <c r="F210" i="18"/>
  <c r="F209" i="18"/>
  <c r="F208" i="18"/>
  <c r="F207" i="18"/>
  <c r="F206" i="18"/>
  <c r="F205" i="18"/>
  <c r="F204" i="18"/>
  <c r="F203" i="18"/>
  <c r="F202" i="18"/>
  <c r="F201" i="18"/>
  <c r="F200" i="18"/>
  <c r="F199" i="18"/>
  <c r="F198" i="18"/>
  <c r="F197" i="18"/>
  <c r="F196" i="18"/>
  <c r="F195" i="18"/>
  <c r="F182" i="18"/>
  <c r="F180" i="18"/>
  <c r="F179" i="18"/>
  <c r="F178" i="18"/>
  <c r="F177" i="18"/>
  <c r="F176" i="18"/>
  <c r="F175" i="18"/>
  <c r="F174" i="18"/>
  <c r="F173" i="18"/>
  <c r="F172" i="18"/>
  <c r="F171" i="18"/>
  <c r="F170" i="18"/>
  <c r="F168" i="18"/>
  <c r="F152" i="18"/>
  <c r="F151" i="18"/>
  <c r="F150" i="18"/>
  <c r="F149" i="18"/>
  <c r="F148" i="18"/>
  <c r="F147" i="18"/>
  <c r="F146" i="18"/>
  <c r="F144" i="18"/>
  <c r="F143" i="18"/>
  <c r="F142" i="18"/>
  <c r="F141" i="18"/>
  <c r="F140" i="18"/>
  <c r="F138" i="18"/>
  <c r="F137" i="18"/>
  <c r="F136" i="18"/>
  <c r="F135" i="18"/>
  <c r="F134" i="18"/>
  <c r="F133" i="18"/>
  <c r="F132" i="18"/>
  <c r="F131" i="18"/>
  <c r="F130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8" i="18"/>
  <c r="F87" i="18"/>
  <c r="F86" i="18"/>
  <c r="F85" i="18"/>
  <c r="F84" i="18"/>
  <c r="F83" i="18"/>
  <c r="F82" i="18"/>
  <c r="F81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4" i="18"/>
  <c r="F43" i="18"/>
  <c r="F42" i="18"/>
  <c r="F41" i="18"/>
  <c r="F40" i="18"/>
  <c r="F39" i="18"/>
  <c r="F38" i="18"/>
  <c r="F37" i="18"/>
  <c r="F36" i="18"/>
  <c r="F35" i="18"/>
  <c r="F34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0" i="18"/>
  <c r="F9" i="18"/>
  <c r="F8" i="18"/>
  <c r="F7" i="18"/>
  <c r="F6" i="18"/>
  <c r="F5" i="18"/>
  <c r="E3" i="10"/>
</calcChain>
</file>

<file path=xl/sharedStrings.xml><?xml version="1.0" encoding="utf-8"?>
<sst xmlns="http://schemas.openxmlformats.org/spreadsheetml/2006/main" count="1015" uniqueCount="81">
  <si>
    <t>On Track</t>
  </si>
  <si>
    <t>Bryan Liu</t>
  </si>
  <si>
    <t>Enoch Ou</t>
  </si>
  <si>
    <t>Kerry Tian</t>
  </si>
  <si>
    <t>Jerry Zhang</t>
  </si>
  <si>
    <t>Kevin Chung</t>
  </si>
  <si>
    <t>Harsh Shah</t>
  </si>
  <si>
    <t>Giancarlo Lahura</t>
  </si>
  <si>
    <t>Stephen Scicluna</t>
  </si>
  <si>
    <t>Winnie Luong</t>
  </si>
  <si>
    <t>Herman Li</t>
  </si>
  <si>
    <t>Jack</t>
    <phoneticPr fontId="5" type="noConversion"/>
  </si>
  <si>
    <t>Practice 1 - Msgbox</t>
    <phoneticPr fontId="5" type="noConversion"/>
  </si>
  <si>
    <t>Ex.</t>
    <phoneticPr fontId="5" type="noConversion"/>
  </si>
  <si>
    <t>Question 1 - Mycountifs</t>
    <phoneticPr fontId="5" type="noConversion"/>
  </si>
  <si>
    <t>Question 2 - Count Status</t>
    <phoneticPr fontId="5" type="noConversion"/>
  </si>
  <si>
    <t>Not started</t>
  </si>
  <si>
    <t>Require attention</t>
  </si>
  <si>
    <t>Completed</t>
  </si>
  <si>
    <t>Require attention</t>
    <phoneticPr fontId="5" type="noConversion"/>
  </si>
  <si>
    <t>Completed</t>
    <phoneticPr fontId="5" type="noConversion"/>
  </si>
  <si>
    <t>On Track</t>
    <phoneticPr fontId="5" type="noConversion"/>
  </si>
  <si>
    <t>Not Started + ""</t>
  </si>
  <si>
    <t>Countif</t>
  </si>
  <si>
    <t>Exie Cadiz</t>
  </si>
  <si>
    <t>Cayla Loehr</t>
  </si>
  <si>
    <t>Lyla Longshore</t>
  </si>
  <si>
    <t>Sammie Chesser</t>
  </si>
  <si>
    <t>Esperanza Jimenes</t>
  </si>
  <si>
    <t>Yen Schoenberg</t>
  </si>
  <si>
    <t>Iraida Huneycutt</t>
  </si>
  <si>
    <t>Nakia Veillon</t>
  </si>
  <si>
    <t>Jorge Quirk</t>
    <phoneticPr fontId="5" type="noConversion"/>
  </si>
  <si>
    <t>Deandrea Marcucci</t>
  </si>
  <si>
    <t>Leeann Chenard</t>
  </si>
  <si>
    <t>Krishna Reidy</t>
  </si>
  <si>
    <t>Yun Lanctot</t>
  </si>
  <si>
    <t>Tasia Oyola</t>
  </si>
  <si>
    <t>Gilbert Marez</t>
  </si>
  <si>
    <t>Danae Prettyman</t>
  </si>
  <si>
    <t>Amberly Pelley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</si>
  <si>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</si>
  <si>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</si>
  <si>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</si>
  <si>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</si>
  <si>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</si>
  <si>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</si>
  <si>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</si>
  <si>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</si>
  <si>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</si>
  <si>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</si>
  <si>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</si>
  <si>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</si>
  <si>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</si>
  <si>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</si>
  <si>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</si>
  <si>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Ref</t>
  </si>
  <si>
    <t>Category</t>
  </si>
  <si>
    <t>Item</t>
  </si>
  <si>
    <t>Previous</t>
  </si>
  <si>
    <t>Status</t>
  </si>
  <si>
    <t>Meet</t>
  </si>
  <si>
    <t>Start</t>
  </si>
  <si>
    <t>Finish</t>
  </si>
  <si>
    <t>Comment</t>
  </si>
  <si>
    <t>Status to original</t>
  </si>
  <si>
    <t>n/a</t>
  </si>
  <si>
    <t>x</t>
  </si>
  <si>
    <t>Review incl overlay, tax &amp; compensation impact</t>
  </si>
  <si>
    <t>Start Date</t>
  </si>
  <si>
    <t>End Date</t>
  </si>
  <si>
    <t>Check</t>
  </si>
  <si>
    <t>Require Attention</t>
  </si>
  <si>
    <t>Not Started</t>
  </si>
  <si>
    <t>Practice 3 - Input Box</t>
  </si>
  <si>
    <t>Practice 4</t>
  </si>
  <si>
    <t>Practice 2 - MsgBox With Conditions</t>
  </si>
  <si>
    <t>Practice 4 - Nested Loop</t>
  </si>
  <si>
    <t>Use nested loop to find all the duplicate names</t>
  </si>
  <si>
    <t>On track</t>
  </si>
  <si>
    <t>Project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</si>
</sst>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&quot;¥&quot;* #,##0.00_ ;_ &quot;¥&quot;* \-#,##0.00_ ;_ &quot;¥&quot;* &quot;-&quot;??_ ;_ @_ "/>
    <numFmt numFmtId="165" formatCode="_-&quot;£&quot;* #,##0.00_-;\-&quot;£&quot;* #,##0.00_-;_-&quot;£&quot;* &quot;-&quot;??_-;_-@_-"/>
    <numFmt numFmtId="166" formatCode="[$-409]mmm\ dd;@"/>
    <numFmt numFmtId="167" formatCode="0.#"/>
    <numFmt numFmtId="168" formatCode="yyyy/mm/dd;@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1"/>
      <color rgb="FFFF0000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2"/>
      <name val="Calibri"/>
      <family val="2"/>
    </font>
    <font>
      <b/>
      <sz val="16"/>
      <color theme="1"/>
      <name val="Calibri"/>
      <family val="2"/>
    </font>
    <font>
      <i/>
      <sz val="8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</font>
    <font>
      <sz val="9"/>
      <color theme="1"/>
      <name val="Calibri"/>
      <family val="2"/>
    </font>
    <font>
      <b/>
      <sz val="2"/>
      <color theme="3"/>
      <name val="Calibri"/>
      <family val="2"/>
    </font>
    <font>
      <sz val="10"/>
      <color theme="1"/>
      <name val="Calibri"/>
      <family val="2"/>
    </font>
    <font>
      <sz val="8"/>
      <color theme="1"/>
      <name val="Calibri"/>
      <family val="2"/>
    </font>
    <font>
      <b/>
      <sz val="11"/>
      <color theme="4"/>
      <name val="幼圆"/>
      <family val="3"/>
      <charset val="134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0000"/>
        <bgColor indexed="64"/>
      </patternFill>
    </fill>
  </fills>
  <borders count="18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/>
    <xf numFmtId="0" fontId="7" fillId="0" borderId="0"/>
    <xf numFmtId="9" fontId="8" fillId="0" borderId="0" applyFont="0" applyFill="0" applyBorder="0" applyAlignment="0" applyProtection="0">
      <alignment vertical="center"/>
    </xf>
    <xf numFmtId="0" fontId="7" fillId="0" borderId="0"/>
    <xf numFmtId="0" fontId="8" fillId="0" borderId="0">
      <alignment vertical="center"/>
    </xf>
    <xf numFmtId="0" fontId="9" fillId="0" borderId="0"/>
    <xf numFmtId="0" fontId="4" fillId="0" borderId="0"/>
    <xf numFmtId="0" fontId="7" fillId="0" borderId="0"/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/>
    <xf numFmtId="165" fontId="9" fillId="0" borderId="0" applyFont="0" applyFill="0" applyBorder="0" applyAlignment="0" applyProtection="0"/>
    <xf numFmtId="164" fontId="7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/>
  </cellStyleXfs>
  <cellXfs count="88">
    <xf numFmtId="0" fontId="0" fillId="0" borderId="0" xfId="0"/>
    <xf numFmtId="0" fontId="0" fillId="3" borderId="0" xfId="0" applyFill="1"/>
    <xf numFmtId="0" fontId="11" fillId="0" borderId="0" xfId="0" applyFont="1"/>
    <xf numFmtId="0" fontId="0" fillId="2" borderId="0" xfId="0" applyFill="1" applyBorder="1"/>
    <xf numFmtId="0" fontId="0" fillId="2" borderId="1" xfId="12" applyNumberFormat="1" applyFont="1" applyFill="1" applyBorder="1" applyAlignment="1"/>
    <xf numFmtId="0" fontId="0" fillId="4" borderId="1" xfId="12" applyNumberFormat="1" applyFont="1" applyFill="1" applyBorder="1" applyAlignment="1"/>
    <xf numFmtId="0" fontId="0" fillId="2" borderId="2" xfId="12" applyNumberFormat="1" applyFont="1" applyFill="1" applyBorder="1" applyAlignment="1"/>
    <xf numFmtId="0" fontId="0" fillId="2" borderId="3" xfId="0" applyFill="1" applyBorder="1"/>
    <xf numFmtId="0" fontId="0" fillId="2" borderId="4" xfId="12" applyNumberFormat="1" applyFont="1" applyFill="1" applyBorder="1" applyAlignment="1"/>
    <xf numFmtId="0" fontId="0" fillId="2" borderId="5" xfId="0" applyFill="1" applyBorder="1"/>
    <xf numFmtId="0" fontId="0" fillId="4" borderId="5" xfId="0" applyFill="1" applyBorder="1"/>
    <xf numFmtId="0" fontId="0" fillId="2" borderId="6" xfId="0" applyFill="1" applyBorder="1"/>
    <xf numFmtId="0" fontId="12" fillId="0" borderId="0" xfId="0" applyFont="1"/>
    <xf numFmtId="0" fontId="0" fillId="4" borderId="0" xfId="0" applyFill="1" applyBorder="1"/>
    <xf numFmtId="1" fontId="13" fillId="2" borderId="7" xfId="0" applyNumberFormat="1" applyFont="1" applyFill="1" applyBorder="1" applyProtection="1"/>
    <xf numFmtId="1" fontId="13" fillId="2" borderId="8" xfId="0" applyNumberFormat="1" applyFont="1" applyFill="1" applyBorder="1" applyProtection="1"/>
    <xf numFmtId="1" fontId="13" fillId="2" borderId="9" xfId="0" applyNumberFormat="1" applyFont="1" applyFill="1" applyBorder="1" applyProtection="1"/>
    <xf numFmtId="0" fontId="11" fillId="0" borderId="0" xfId="13" applyFont="1">
      <alignment vertical="center"/>
    </xf>
    <xf numFmtId="0" fontId="3" fillId="0" borderId="0" xfId="13">
      <alignment vertical="center"/>
    </xf>
    <xf numFmtId="0" fontId="3" fillId="2" borderId="0" xfId="13" applyFill="1" applyAlignment="1"/>
    <xf numFmtId="0" fontId="3" fillId="0" borderId="10" xfId="13" applyFont="1" applyFill="1" applyBorder="1" applyAlignment="1" applyProtection="1">
      <alignment horizontal="center"/>
    </xf>
    <xf numFmtId="0" fontId="3" fillId="3" borderId="10" xfId="13" applyFont="1" applyFill="1" applyBorder="1" applyAlignment="1" applyProtection="1">
      <alignment horizontal="center"/>
    </xf>
    <xf numFmtId="0" fontId="3" fillId="0" borderId="0" xfId="13" applyAlignment="1"/>
    <xf numFmtId="0" fontId="14" fillId="2" borderId="0" xfId="13" applyFont="1" applyFill="1" applyAlignment="1" applyProtection="1"/>
    <xf numFmtId="0" fontId="3" fillId="2" borderId="0" xfId="13" applyFill="1" applyAlignment="1" applyProtection="1"/>
    <xf numFmtId="0" fontId="15" fillId="2" borderId="0" xfId="13" applyFont="1" applyFill="1" applyAlignment="1" applyProtection="1"/>
    <xf numFmtId="166" fontId="3" fillId="2" borderId="0" xfId="13" applyNumberFormat="1" applyFill="1" applyAlignment="1" applyProtection="1"/>
    <xf numFmtId="0" fontId="16" fillId="5" borderId="10" xfId="13" applyFont="1" applyFill="1" applyBorder="1" applyAlignment="1" applyProtection="1">
      <alignment horizontal="center" vertical="center"/>
    </xf>
    <xf numFmtId="0" fontId="16" fillId="5" borderId="11" xfId="13" applyFont="1" applyFill="1" applyBorder="1" applyAlignment="1" applyProtection="1">
      <alignment horizontal="center" vertical="center"/>
    </xf>
    <xf numFmtId="0" fontId="17" fillId="5" borderId="10" xfId="13" applyFont="1" applyFill="1" applyBorder="1" applyAlignment="1" applyProtection="1">
      <alignment horizontal="center" vertical="center" wrapText="1"/>
    </xf>
    <xf numFmtId="0" fontId="17" fillId="5" borderId="0" xfId="13" applyFont="1" applyFill="1" applyBorder="1" applyAlignment="1" applyProtection="1">
      <alignment horizontal="center" vertical="center" wrapText="1"/>
    </xf>
    <xf numFmtId="166" fontId="17" fillId="5" borderId="10" xfId="13" applyNumberFormat="1" applyFont="1" applyFill="1" applyBorder="1" applyAlignment="1" applyProtection="1">
      <alignment horizontal="center" vertical="center"/>
    </xf>
    <xf numFmtId="0" fontId="16" fillId="5" borderId="11" xfId="13" applyFont="1" applyFill="1" applyBorder="1" applyAlignment="1" applyProtection="1">
      <alignment vertical="center"/>
    </xf>
    <xf numFmtId="0" fontId="18" fillId="0" borderId="10" xfId="13" applyFont="1" applyFill="1" applyBorder="1" applyAlignment="1" applyProtection="1">
      <alignment horizontal="center"/>
    </xf>
    <xf numFmtId="0" fontId="3" fillId="0" borderId="10" xfId="13" applyFont="1" applyFill="1" applyBorder="1" applyAlignment="1" applyProtection="1"/>
    <xf numFmtId="0" fontId="3" fillId="0" borderId="10" xfId="13" applyFill="1" applyBorder="1" applyAlignment="1" applyProtection="1">
      <alignment horizontal="center"/>
    </xf>
    <xf numFmtId="1" fontId="19" fillId="6" borderId="12" xfId="13" applyNumberFormat="1" applyFont="1" applyFill="1" applyBorder="1" applyAlignment="1" applyProtection="1"/>
    <xf numFmtId="166" fontId="15" fillId="7" borderId="10" xfId="13" applyNumberFormat="1" applyFont="1" applyFill="1" applyBorder="1" applyAlignment="1" applyProtection="1">
      <alignment horizontal="center"/>
      <protection locked="0"/>
    </xf>
    <xf numFmtId="166" fontId="20" fillId="0" borderId="10" xfId="13" applyNumberFormat="1" applyFont="1" applyBorder="1" applyAlignment="1" applyProtection="1">
      <alignment horizontal="center"/>
    </xf>
    <xf numFmtId="167" fontId="3" fillId="0" borderId="10" xfId="13" applyNumberFormat="1" applyBorder="1" applyAlignment="1" applyProtection="1">
      <alignment horizontal="center"/>
    </xf>
    <xf numFmtId="0" fontId="21" fillId="0" borderId="10" xfId="13" applyFont="1" applyFill="1" applyBorder="1" applyAlignment="1" applyProtection="1"/>
    <xf numFmtId="0" fontId="3" fillId="0" borderId="10" xfId="13" applyFont="1" applyFill="1" applyBorder="1" applyAlignment="1" applyProtection="1">
      <alignment horizontal="left" indent="1"/>
    </xf>
    <xf numFmtId="0" fontId="18" fillId="3" borderId="10" xfId="13" applyFont="1" applyFill="1" applyBorder="1" applyAlignment="1" applyProtection="1">
      <alignment horizontal="center"/>
    </xf>
    <xf numFmtId="0" fontId="3" fillId="3" borderId="10" xfId="13" applyFont="1" applyFill="1" applyBorder="1" applyAlignment="1" applyProtection="1"/>
    <xf numFmtId="0" fontId="3" fillId="3" borderId="10" xfId="13" applyFill="1" applyBorder="1" applyAlignment="1" applyProtection="1">
      <alignment horizontal="center"/>
    </xf>
    <xf numFmtId="1" fontId="19" fillId="3" borderId="12" xfId="13" applyNumberFormat="1" applyFont="1" applyFill="1" applyBorder="1" applyAlignment="1" applyProtection="1"/>
    <xf numFmtId="166" fontId="15" fillId="3" borderId="10" xfId="13" applyNumberFormat="1" applyFont="1" applyFill="1" applyBorder="1" applyAlignment="1" applyProtection="1">
      <alignment horizontal="center"/>
      <protection locked="0"/>
    </xf>
    <xf numFmtId="166" fontId="20" fillId="3" borderId="10" xfId="13" applyNumberFormat="1" applyFont="1" applyFill="1" applyBorder="1" applyAlignment="1" applyProtection="1">
      <alignment horizontal="center"/>
    </xf>
    <xf numFmtId="167" fontId="3" fillId="3" borderId="10" xfId="13" applyNumberFormat="1" applyFill="1" applyBorder="1" applyAlignment="1" applyProtection="1">
      <alignment horizontal="center"/>
    </xf>
    <xf numFmtId="0" fontId="21" fillId="3" borderId="10" xfId="13" applyFont="1" applyFill="1" applyBorder="1" applyAlignment="1" applyProtection="1"/>
    <xf numFmtId="0" fontId="3" fillId="3" borderId="0" xfId="13" applyFill="1" applyAlignment="1" applyProtection="1"/>
    <xf numFmtId="166" fontId="15" fillId="2" borderId="10" xfId="13" applyNumberFormat="1" applyFont="1" applyFill="1" applyBorder="1" applyAlignment="1" applyProtection="1">
      <alignment horizontal="center"/>
    </xf>
    <xf numFmtId="166" fontId="20" fillId="0" borderId="10" xfId="13" applyNumberFormat="1" applyFont="1" applyFill="1" applyBorder="1" applyAlignment="1" applyProtection="1">
      <alignment horizontal="center"/>
    </xf>
    <xf numFmtId="0" fontId="3" fillId="0" borderId="13" xfId="13" applyFont="1" applyFill="1" applyBorder="1" applyAlignment="1" applyProtection="1"/>
    <xf numFmtId="0" fontId="3" fillId="0" borderId="10" xfId="13" applyFont="1" applyFill="1" applyBorder="1" applyAlignment="1" applyProtection="1">
      <alignment wrapText="1"/>
    </xf>
    <xf numFmtId="166" fontId="15" fillId="7" borderId="10" xfId="13" applyNumberFormat="1" applyFont="1" applyFill="1" applyBorder="1" applyAlignment="1" applyProtection="1">
      <alignment horizontal="center"/>
    </xf>
    <xf numFmtId="0" fontId="3" fillId="8" borderId="10" xfId="13" applyFont="1" applyFill="1" applyBorder="1" applyAlignment="1" applyProtection="1"/>
    <xf numFmtId="166" fontId="20" fillId="9" borderId="10" xfId="13" applyNumberFormat="1" applyFont="1" applyFill="1" applyBorder="1" applyAlignment="1" applyProtection="1">
      <alignment horizontal="center"/>
    </xf>
    <xf numFmtId="0" fontId="3" fillId="0" borderId="0" xfId="13" applyAlignment="1" applyProtection="1"/>
    <xf numFmtId="14" fontId="3" fillId="0" borderId="0" xfId="13" applyNumberFormat="1" applyAlignment="1" applyProtection="1"/>
    <xf numFmtId="0" fontId="15" fillId="0" borderId="0" xfId="13" applyFont="1" applyAlignment="1" applyProtection="1"/>
    <xf numFmtId="166" fontId="3" fillId="0" borderId="0" xfId="13" applyNumberFormat="1" applyAlignment="1" applyProtection="1"/>
    <xf numFmtId="9" fontId="0" fillId="0" borderId="0" xfId="14" applyFont="1" applyAlignment="1" applyProtection="1"/>
    <xf numFmtId="0" fontId="16" fillId="5" borderId="16" xfId="13" applyFont="1" applyFill="1" applyBorder="1" applyAlignment="1" applyProtection="1">
      <alignment vertical="center"/>
    </xf>
    <xf numFmtId="0" fontId="3" fillId="2" borderId="0" xfId="13" applyFill="1" applyBorder="1" applyAlignment="1">
      <alignment horizontal="left"/>
    </xf>
    <xf numFmtId="14" fontId="3" fillId="2" borderId="0" xfId="13" applyNumberFormat="1" applyFill="1" applyBorder="1" applyAlignment="1"/>
    <xf numFmtId="10" fontId="0" fillId="2" borderId="0" xfId="14" applyNumberFormat="1" applyFont="1" applyFill="1" applyBorder="1" applyAlignment="1"/>
    <xf numFmtId="9" fontId="3" fillId="0" borderId="0" xfId="13" applyNumberFormat="1" applyAlignment="1"/>
    <xf numFmtId="0" fontId="3" fillId="2" borderId="0" xfId="13" applyFont="1" applyFill="1" applyBorder="1" applyAlignment="1" applyProtection="1">
      <alignment horizontal="left"/>
    </xf>
    <xf numFmtId="14" fontId="3" fillId="2" borderId="0" xfId="13" applyNumberFormat="1" applyFill="1" applyBorder="1" applyAlignment="1">
      <alignment horizontal="left"/>
    </xf>
    <xf numFmtId="0" fontId="3" fillId="2" borderId="0" xfId="13" applyFill="1" applyBorder="1" applyAlignment="1"/>
    <xf numFmtId="0" fontId="3" fillId="0" borderId="0" xfId="13" applyBorder="1" applyAlignment="1"/>
    <xf numFmtId="14" fontId="3" fillId="0" borderId="0" xfId="13" applyNumberFormat="1" applyBorder="1" applyAlignment="1"/>
    <xf numFmtId="14" fontId="3" fillId="0" borderId="0" xfId="13" applyNumberFormat="1" applyAlignment="1"/>
    <xf numFmtId="0" fontId="7" fillId="3" borderId="0" xfId="13" applyFont="1" applyFill="1" applyAlignment="1"/>
    <xf numFmtId="0" fontId="22" fillId="0" borderId="0" xfId="13" applyFont="1">
      <alignment vertical="center"/>
    </xf>
    <xf numFmtId="0" fontId="7" fillId="10" borderId="0" xfId="13" applyFont="1" applyFill="1" applyAlignment="1"/>
    <xf numFmtId="0" fontId="3" fillId="10" borderId="0" xfId="13" applyFill="1" applyAlignment="1"/>
    <xf numFmtId="0" fontId="1" fillId="0" borderId="10" xfId="13" applyFont="1" applyFill="1" applyBorder="1" applyAlignment="1" applyProtection="1">
      <alignment horizontal="center"/>
    </xf>
    <xf numFmtId="14" fontId="3" fillId="2" borderId="0" xfId="13" applyNumberFormat="1" applyFill="1" applyAlignment="1" applyProtection="1"/>
    <xf numFmtId="0" fontId="1" fillId="2" borderId="0" xfId="13" applyFont="1" applyFill="1" applyBorder="1" applyAlignment="1">
      <alignment horizontal="left"/>
    </xf>
    <xf numFmtId="2" fontId="1" fillId="2" borderId="0" xfId="13" applyNumberFormat="1" applyFont="1" applyFill="1" applyAlignment="1" applyProtection="1"/>
    <xf numFmtId="0" fontId="16" fillId="5" borderId="14" xfId="13" applyFont="1" applyFill="1" applyBorder="1" applyAlignment="1" applyProtection="1">
      <alignment horizontal="center" vertical="center"/>
    </xf>
    <xf numFmtId="0" fontId="16" fillId="5" borderId="13" xfId="13" applyFont="1" applyFill="1" applyBorder="1" applyAlignment="1" applyProtection="1">
      <alignment horizontal="center" vertical="center"/>
    </xf>
    <xf numFmtId="0" fontId="16" fillId="5" borderId="11" xfId="13" applyFont="1" applyFill="1" applyBorder="1" applyAlignment="1" applyProtection="1">
      <alignment horizontal="center" vertical="center"/>
    </xf>
    <xf numFmtId="0" fontId="16" fillId="5" borderId="15" xfId="13" applyFont="1" applyFill="1" applyBorder="1" applyAlignment="1" applyProtection="1">
      <alignment horizontal="center" vertical="center"/>
    </xf>
    <xf numFmtId="0" fontId="16" fillId="5" borderId="17" xfId="13" applyFont="1" applyFill="1" applyBorder="1" applyAlignment="1" applyProtection="1">
      <alignment horizontal="center" vertical="center"/>
    </xf>
    <xf numFmtId="168" fontId="3" fillId="2" borderId="0" xfId="13" applyNumberFormat="1" applyFill="1" applyBorder="1" applyAlignment="1"/>
  </cellXfs>
  <cellStyles count="16">
    <cellStyle name="Currency" xfId="12" builtinId="4"/>
    <cellStyle name="Normal" xfId="0" builtinId="0"/>
    <cellStyle name="Normal 2" xfId="1" xr:uid="{00000000-0005-0000-0000-000003000000}"/>
    <cellStyle name="Normal 3" xfId="13" xr:uid="{00000000-0005-0000-0000-000004000000}"/>
    <cellStyle name="Normal 3 2" xfId="15" xr:uid="{00000000-0005-0000-0000-000005000000}"/>
    <cellStyle name="Percent 2" xfId="14" xr:uid="{00000000-0005-0000-0000-000006000000}"/>
    <cellStyle name="常规 2" xfId="3" xr:uid="{00000000-0005-0000-0000-000007000000}"/>
    <cellStyle name="常规 2 2" xfId="4" xr:uid="{00000000-0005-0000-0000-000008000000}"/>
    <cellStyle name="常规 2 3" xfId="5" xr:uid="{00000000-0005-0000-0000-000009000000}"/>
    <cellStyle name="常规 3" xfId="6" xr:uid="{00000000-0005-0000-0000-00000A000000}"/>
    <cellStyle name="常规 3 2" xfId="7" xr:uid="{00000000-0005-0000-0000-00000B000000}"/>
    <cellStyle name="常规 4" xfId="8" xr:uid="{00000000-0005-0000-0000-00000C000000}"/>
    <cellStyle name="百分比 2" xfId="2" xr:uid="{00000000-0005-0000-0000-00000D000000}"/>
    <cellStyle name="货币 2" xfId="11" xr:uid="{00000000-0005-0000-0000-00000E000000}"/>
    <cellStyle name="超链接 2" xfId="9" xr:uid="{00000000-0005-0000-0000-00000F000000}"/>
    <cellStyle name="超链接 2 2" xfId="10" xr:uid="{00000000-0005-0000-0000-000010000000}"/>
  </cellStyles>
  <dxfs count="57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2</xdr:row>
      <xdr:rowOff>142875</xdr:rowOff>
    </xdr:from>
    <xdr:to>
      <xdr:col>3</xdr:col>
      <xdr:colOff>228600</xdr:colOff>
      <xdr:row>4</xdr:row>
      <xdr:rowOff>38100</xdr:rowOff>
    </xdr:to>
    <xdr:sp macro="[0]!ShowYourNam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4925" y="485775"/>
          <a:ext cx="9810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Run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8</xdr:row>
      <xdr:rowOff>0</xdr:rowOff>
    </xdr:from>
    <xdr:to>
      <xdr:col>4</xdr:col>
      <xdr:colOff>295275</xdr:colOff>
      <xdr:row>9</xdr:row>
      <xdr:rowOff>66675</xdr:rowOff>
    </xdr:to>
    <xdr:sp macro="[0]!DeleteRang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57400" y="1543050"/>
          <a:ext cx="9810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Run</a:t>
          </a:r>
          <a:endParaRPr lang="zh-CN" altLang="en-US" sz="1100"/>
        </a:p>
      </xdr:txBody>
    </xdr:sp>
    <xdr:clientData/>
  </xdr:twoCellAnchor>
  <xdr:twoCellAnchor>
    <xdr:from>
      <xdr:col>1</xdr:col>
      <xdr:colOff>419100</xdr:colOff>
      <xdr:row>18</xdr:row>
      <xdr:rowOff>114300</xdr:rowOff>
    </xdr:from>
    <xdr:to>
      <xdr:col>3</xdr:col>
      <xdr:colOff>28575</xdr:colOff>
      <xdr:row>20</xdr:row>
      <xdr:rowOff>9525</xdr:rowOff>
    </xdr:to>
    <xdr:sp macro="[0]!InputEx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04900" y="2171700"/>
          <a:ext cx="9810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Run</a:t>
          </a:r>
          <a:endParaRPr lang="zh-CN" altLang="en-US" sz="1100"/>
        </a:p>
      </xdr:txBody>
    </xdr:sp>
    <xdr:clientData/>
  </xdr:twoCellAnchor>
  <xdr:twoCellAnchor>
    <xdr:from>
      <xdr:col>1</xdr:col>
      <xdr:colOff>419100</xdr:colOff>
      <xdr:row>23</xdr:row>
      <xdr:rowOff>66675</xdr:rowOff>
    </xdr:from>
    <xdr:to>
      <xdr:col>3</xdr:col>
      <xdr:colOff>28575</xdr:colOff>
      <xdr:row>24</xdr:row>
      <xdr:rowOff>133350</xdr:rowOff>
    </xdr:to>
    <xdr:sp macro="[0]!XY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04900" y="2981325"/>
          <a:ext cx="9810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Run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4</xdr:row>
      <xdr:rowOff>76200</xdr:rowOff>
    </xdr:from>
    <xdr:to>
      <xdr:col>6</xdr:col>
      <xdr:colOff>447675</xdr:colOff>
      <xdr:row>7</xdr:row>
      <xdr:rowOff>152400</xdr:rowOff>
    </xdr:to>
    <xdr:sp macro="[0]!HighlightDuplica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143375" y="457200"/>
          <a:ext cx="1209675" cy="647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Highlight Deplicate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1293967</xdr:colOff>
      <xdr:row>0</xdr:row>
      <xdr:rowOff>232900</xdr:rowOff>
    </xdr:from>
    <xdr:to>
      <xdr:col>4</xdr:col>
      <xdr:colOff>1416870</xdr:colOff>
      <xdr:row>1</xdr:row>
      <xdr:rowOff>89103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370542" y="232900"/>
          <a:ext cx="122903" cy="122903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2122334</xdr:colOff>
      <xdr:row>0</xdr:row>
      <xdr:rowOff>241913</xdr:rowOff>
    </xdr:from>
    <xdr:to>
      <xdr:col>4</xdr:col>
      <xdr:colOff>2245237</xdr:colOff>
      <xdr:row>1</xdr:row>
      <xdr:rowOff>98116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5198909" y="241913"/>
          <a:ext cx="122903" cy="122903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648267</xdr:colOff>
      <xdr:row>1</xdr:row>
      <xdr:rowOff>145946</xdr:rowOff>
    </xdr:from>
    <xdr:to>
      <xdr:col>4</xdr:col>
      <xdr:colOff>650520</xdr:colOff>
      <xdr:row>2</xdr:row>
      <xdr:rowOff>83791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959338" y="409017"/>
          <a:ext cx="2253" cy="11927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38100</xdr:rowOff>
        </xdr:from>
        <xdr:to>
          <xdr:col>11</xdr:col>
          <xdr:colOff>304800</xdr:colOff>
          <xdr:row>1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Status Report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0</xdr:row>
      <xdr:rowOff>85725</xdr:rowOff>
    </xdr:from>
    <xdr:ext cx="4572000" cy="248851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0" y="904875"/>
          <a:ext cx="45720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000" b="1"/>
            <a:t>Legend:</a:t>
          </a:r>
          <a:r>
            <a:rPr lang="en-US" sz="1000" b="1" baseline="0"/>
            <a:t>        </a:t>
          </a:r>
          <a:r>
            <a:rPr lang="en-US" sz="1000" baseline="0"/>
            <a:t>Complete           On Track               Require attention           Not started        </a:t>
          </a:r>
          <a:endParaRPr lang="en-US" sz="1000"/>
        </a:p>
      </xdr:txBody>
    </xdr:sp>
    <xdr:clientData/>
  </xdr:oneCellAnchor>
  <xdr:twoCellAnchor>
    <xdr:from>
      <xdr:col>1</xdr:col>
      <xdr:colOff>570074</xdr:colOff>
      <xdr:row>0</xdr:row>
      <xdr:rowOff>79271</xdr:rowOff>
    </xdr:from>
    <xdr:to>
      <xdr:col>1</xdr:col>
      <xdr:colOff>692977</xdr:colOff>
      <xdr:row>1</xdr:row>
      <xdr:rowOff>6912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295788" y="79271"/>
          <a:ext cx="122903" cy="190712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327899</xdr:colOff>
      <xdr:row>0</xdr:row>
      <xdr:rowOff>88343</xdr:rowOff>
    </xdr:from>
    <xdr:to>
      <xdr:col>2</xdr:col>
      <xdr:colOff>450802</xdr:colOff>
      <xdr:row>1</xdr:row>
      <xdr:rowOff>15984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2078685" y="88343"/>
          <a:ext cx="122903" cy="190712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30276</xdr:colOff>
      <xdr:row>0</xdr:row>
      <xdr:rowOff>105416</xdr:rowOff>
    </xdr:from>
    <xdr:to>
      <xdr:col>3</xdr:col>
      <xdr:colOff>122222</xdr:colOff>
      <xdr:row>1</xdr:row>
      <xdr:rowOff>33057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3036247" y="105416"/>
          <a:ext cx="91946" cy="19260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611180</xdr:colOff>
      <xdr:row>0</xdr:row>
      <xdr:rowOff>98548</xdr:rowOff>
    </xdr:from>
    <xdr:to>
      <xdr:col>4</xdr:col>
      <xdr:colOff>730243</xdr:colOff>
      <xdr:row>1</xdr:row>
      <xdr:rowOff>43089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4211036" y="98548"/>
          <a:ext cx="119063" cy="20950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vis%20Chen/Desktop/Excel%20VBA/Toronto/Excel%20VBA&#20116;&#26376;&#29677;/Excel/Excel%205/Excel%20Part%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asyAce Excel Training"/>
      <sheetName val="Lecture 10"/>
      <sheetName val="DateFormulas"/>
      <sheetName val="LookupWithMultipleCriteria"/>
      <sheetName val="ExcelTable"/>
      <sheetName val="Report 1"/>
      <sheetName val="Report 2"/>
      <sheetName val="Report 3"/>
      <sheetName val="DashBoard"/>
      <sheetName val="Data"/>
      <sheetName val="Additional Applications"/>
      <sheetName val="RecordMacro"/>
      <sheetName val="Function Summary"/>
      <sheetName val="CalculationFunction"/>
      <sheetName val="StringFunctions"/>
      <sheetName val="CountFunctions"/>
      <sheetName val="DateFunctions"/>
      <sheetName val="StatisticsFunctions"/>
      <sheetName val="LogicalFunctions"/>
      <sheetName val="DataAnalysisFunctions"/>
      <sheetName val="Shortcut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A4" t="str">
            <v>Month</v>
          </cell>
        </row>
      </sheetData>
      <sheetData sheetId="5">
        <row r="3">
          <cell r="A3" t="str">
            <v>Date</v>
          </cell>
        </row>
      </sheetData>
      <sheetData sheetId="6">
        <row r="4">
          <cell r="A4" t="str">
            <v>Month</v>
          </cell>
          <cell r="B4" t="str">
            <v>Data</v>
          </cell>
        </row>
        <row r="5">
          <cell r="A5">
            <v>1</v>
          </cell>
          <cell r="B5">
            <v>40564.872698991581</v>
          </cell>
        </row>
        <row r="6">
          <cell r="A6">
            <v>2</v>
          </cell>
          <cell r="B6">
            <v>33710.536817738037</v>
          </cell>
        </row>
        <row r="7">
          <cell r="A7">
            <v>3</v>
          </cell>
          <cell r="B7">
            <v>67282.230494585616</v>
          </cell>
        </row>
        <row r="8">
          <cell r="A8">
            <v>4</v>
          </cell>
          <cell r="B8">
            <v>48338.443873491866</v>
          </cell>
        </row>
        <row r="9">
          <cell r="A9">
            <v>5</v>
          </cell>
          <cell r="B9">
            <v>90722.782252398116</v>
          </cell>
        </row>
        <row r="10">
          <cell r="A10">
            <v>6</v>
          </cell>
          <cell r="B10">
            <v>18953.345512206353</v>
          </cell>
        </row>
        <row r="11">
          <cell r="A11">
            <v>7</v>
          </cell>
          <cell r="B11">
            <v>33232.177312333457</v>
          </cell>
        </row>
        <row r="12">
          <cell r="A12">
            <v>8</v>
          </cell>
          <cell r="B12">
            <v>62072.808535617187</v>
          </cell>
        </row>
        <row r="13">
          <cell r="A13">
            <v>9</v>
          </cell>
          <cell r="B13">
            <v>3804.0826635773906</v>
          </cell>
        </row>
        <row r="14">
          <cell r="A14">
            <v>10</v>
          </cell>
          <cell r="B14">
            <v>4789.091273877144</v>
          </cell>
        </row>
        <row r="15">
          <cell r="A15">
            <v>11</v>
          </cell>
          <cell r="B15">
            <v>61277.894540464658</v>
          </cell>
        </row>
        <row r="16">
          <cell r="A16">
            <v>12</v>
          </cell>
          <cell r="B16">
            <v>94570.68150391223</v>
          </cell>
        </row>
        <row r="17">
          <cell r="A17">
            <v>13</v>
          </cell>
          <cell r="B17">
            <v>65470.42434563284</v>
          </cell>
        </row>
        <row r="18">
          <cell r="A18">
            <v>14</v>
          </cell>
          <cell r="B18">
            <v>81030.984081591683</v>
          </cell>
        </row>
        <row r="19">
          <cell r="A19">
            <v>15</v>
          </cell>
          <cell r="B19">
            <v>34612.20471561468</v>
          </cell>
        </row>
        <row r="20">
          <cell r="A20">
            <v>16</v>
          </cell>
          <cell r="B20">
            <v>6787.020106686281</v>
          </cell>
        </row>
        <row r="21">
          <cell r="A21">
            <v>17</v>
          </cell>
          <cell r="B21">
            <v>52837.64018583588</v>
          </cell>
        </row>
        <row r="22">
          <cell r="A22">
            <v>18</v>
          </cell>
          <cell r="B22">
            <v>95382.044681852611</v>
          </cell>
        </row>
        <row r="23">
          <cell r="A23">
            <v>19</v>
          </cell>
          <cell r="B23">
            <v>18953.345512206353</v>
          </cell>
        </row>
        <row r="24">
          <cell r="A24">
            <v>20</v>
          </cell>
          <cell r="B24">
            <v>33232.177312333457</v>
          </cell>
        </row>
        <row r="25">
          <cell r="A25">
            <v>21</v>
          </cell>
          <cell r="B25">
            <v>62072.808535617187</v>
          </cell>
        </row>
        <row r="26">
          <cell r="A26">
            <v>22</v>
          </cell>
          <cell r="B26">
            <v>3804.0826635773906</v>
          </cell>
        </row>
        <row r="27">
          <cell r="A27">
            <v>23</v>
          </cell>
          <cell r="B27">
            <v>4789.091273877144</v>
          </cell>
        </row>
        <row r="28">
          <cell r="A28">
            <v>24</v>
          </cell>
          <cell r="B28">
            <v>61277.894540464658</v>
          </cell>
        </row>
        <row r="29">
          <cell r="A29">
            <v>25</v>
          </cell>
          <cell r="B29">
            <v>94570.68150391223</v>
          </cell>
        </row>
        <row r="30">
          <cell r="A30">
            <v>26</v>
          </cell>
          <cell r="B30">
            <v>65470.42434563284</v>
          </cell>
        </row>
        <row r="31">
          <cell r="A31">
            <v>0</v>
          </cell>
          <cell r="B31">
            <v>0</v>
          </cell>
        </row>
      </sheetData>
      <sheetData sheetId="7" refreshError="1">
        <row r="3">
          <cell r="A3" t="str">
            <v>Date</v>
          </cell>
          <cell r="B3" t="str">
            <v>Data</v>
          </cell>
          <cell r="E3">
            <v>41334</v>
          </cell>
        </row>
        <row r="4">
          <cell r="A4">
            <v>40179</v>
          </cell>
          <cell r="E4">
            <v>6</v>
          </cell>
        </row>
        <row r="5">
          <cell r="A5">
            <v>40210</v>
          </cell>
        </row>
        <row r="6">
          <cell r="A6">
            <v>40238</v>
          </cell>
        </row>
        <row r="7">
          <cell r="A7">
            <v>40269</v>
          </cell>
        </row>
        <row r="8">
          <cell r="A8">
            <v>40299</v>
          </cell>
        </row>
        <row r="9">
          <cell r="A9">
            <v>40330</v>
          </cell>
        </row>
        <row r="10">
          <cell r="A10">
            <v>40360</v>
          </cell>
        </row>
        <row r="11">
          <cell r="A11">
            <v>40391</v>
          </cell>
        </row>
        <row r="12">
          <cell r="A12">
            <v>40422</v>
          </cell>
        </row>
        <row r="13">
          <cell r="A13">
            <v>40452</v>
          </cell>
        </row>
        <row r="14">
          <cell r="A14">
            <v>40483</v>
          </cell>
        </row>
        <row r="15">
          <cell r="A15">
            <v>40513</v>
          </cell>
        </row>
        <row r="16">
          <cell r="A16">
            <v>40544</v>
          </cell>
        </row>
        <row r="17">
          <cell r="A17">
            <v>40575</v>
          </cell>
        </row>
        <row r="18">
          <cell r="A18">
            <v>40603</v>
          </cell>
        </row>
        <row r="19">
          <cell r="A19">
            <v>40634</v>
          </cell>
        </row>
        <row r="20">
          <cell r="A20">
            <v>40664</v>
          </cell>
        </row>
        <row r="21">
          <cell r="A21">
            <v>40695</v>
          </cell>
        </row>
        <row r="22">
          <cell r="A22">
            <v>40725</v>
          </cell>
        </row>
        <row r="23">
          <cell r="A23">
            <v>40756</v>
          </cell>
        </row>
        <row r="24">
          <cell r="A24">
            <v>40787</v>
          </cell>
        </row>
        <row r="25">
          <cell r="A25">
            <v>40817</v>
          </cell>
        </row>
        <row r="26">
          <cell r="A26">
            <v>40848</v>
          </cell>
        </row>
        <row r="27">
          <cell r="A27">
            <v>40878</v>
          </cell>
        </row>
        <row r="28">
          <cell r="A28">
            <v>40909</v>
          </cell>
        </row>
        <row r="29">
          <cell r="A29">
            <v>40940</v>
          </cell>
        </row>
        <row r="30">
          <cell r="A30">
            <v>40969</v>
          </cell>
        </row>
        <row r="31">
          <cell r="A31">
            <v>40969</v>
          </cell>
        </row>
        <row r="32">
          <cell r="A32">
            <v>40969</v>
          </cell>
        </row>
        <row r="33">
          <cell r="A33">
            <v>40969</v>
          </cell>
        </row>
        <row r="34">
          <cell r="A34">
            <v>40969</v>
          </cell>
        </row>
        <row r="35">
          <cell r="A35">
            <v>40969</v>
          </cell>
        </row>
        <row r="36">
          <cell r="A36">
            <v>40969</v>
          </cell>
        </row>
        <row r="37">
          <cell r="A37">
            <v>40969</v>
          </cell>
        </row>
        <row r="38">
          <cell r="A38">
            <v>40969</v>
          </cell>
        </row>
        <row r="39">
          <cell r="A39">
            <v>40969</v>
          </cell>
        </row>
        <row r="40">
          <cell r="A40">
            <v>40969</v>
          </cell>
        </row>
        <row r="41">
          <cell r="A41">
            <v>40969</v>
          </cell>
        </row>
        <row r="42">
          <cell r="A42">
            <v>40969</v>
          </cell>
        </row>
        <row r="43">
          <cell r="A43">
            <v>41000</v>
          </cell>
        </row>
        <row r="44">
          <cell r="A44">
            <v>41030</v>
          </cell>
        </row>
        <row r="45">
          <cell r="A45">
            <v>41061</v>
          </cell>
        </row>
        <row r="46">
          <cell r="A46">
            <v>41091</v>
          </cell>
        </row>
        <row r="47">
          <cell r="A47">
            <v>41122</v>
          </cell>
        </row>
        <row r="48">
          <cell r="A48">
            <v>41153</v>
          </cell>
        </row>
        <row r="49">
          <cell r="A49">
            <v>41183</v>
          </cell>
        </row>
        <row r="50">
          <cell r="A50">
            <v>41214</v>
          </cell>
        </row>
        <row r="51">
          <cell r="A51">
            <v>41244</v>
          </cell>
        </row>
        <row r="52">
          <cell r="A52">
            <v>41275</v>
          </cell>
        </row>
        <row r="53">
          <cell r="A53">
            <v>41306</v>
          </cell>
        </row>
        <row r="54">
          <cell r="A54">
            <v>41334</v>
          </cell>
        </row>
        <row r="55">
          <cell r="A55">
            <v>41365</v>
          </cell>
        </row>
        <row r="56">
          <cell r="A56">
            <v>41395</v>
          </cell>
        </row>
        <row r="57">
          <cell r="A57">
            <v>41426</v>
          </cell>
        </row>
        <row r="58">
          <cell r="A58">
            <v>41456</v>
          </cell>
        </row>
        <row r="59">
          <cell r="A59">
            <v>41487</v>
          </cell>
        </row>
        <row r="60">
          <cell r="A60">
            <v>41518</v>
          </cell>
        </row>
        <row r="61">
          <cell r="A61">
            <v>41548</v>
          </cell>
        </row>
        <row r="62">
          <cell r="A62">
            <v>41579</v>
          </cell>
        </row>
        <row r="63">
          <cell r="A63">
            <v>41609</v>
          </cell>
        </row>
        <row r="64">
          <cell r="A64">
            <v>41640</v>
          </cell>
        </row>
        <row r="65">
          <cell r="A65">
            <v>41671</v>
          </cell>
        </row>
        <row r="66">
          <cell r="A66">
            <v>41699</v>
          </cell>
        </row>
        <row r="67">
          <cell r="A67">
            <v>41730</v>
          </cell>
        </row>
        <row r="68">
          <cell r="A68">
            <v>41760</v>
          </cell>
        </row>
        <row r="69">
          <cell r="A69">
            <v>41791</v>
          </cell>
        </row>
        <row r="70">
          <cell r="A70">
            <v>41821</v>
          </cell>
        </row>
        <row r="71">
          <cell r="A71">
            <v>41852</v>
          </cell>
        </row>
        <row r="72">
          <cell r="A72">
            <v>41883</v>
          </cell>
        </row>
        <row r="73">
          <cell r="A73">
            <v>41913</v>
          </cell>
        </row>
        <row r="74">
          <cell r="A74">
            <v>41944</v>
          </cell>
        </row>
        <row r="75">
          <cell r="A75">
            <v>41974</v>
          </cell>
        </row>
        <row r="76">
          <cell r="A76">
            <v>42005</v>
          </cell>
        </row>
        <row r="77">
          <cell r="A77">
            <v>42036</v>
          </cell>
        </row>
        <row r="78">
          <cell r="A78">
            <v>42064</v>
          </cell>
        </row>
        <row r="79">
          <cell r="A79">
            <v>42095</v>
          </cell>
        </row>
        <row r="80">
          <cell r="A80">
            <v>42125</v>
          </cell>
        </row>
        <row r="81">
          <cell r="A81">
            <v>42156</v>
          </cell>
        </row>
        <row r="82">
          <cell r="A82">
            <v>42186</v>
          </cell>
        </row>
        <row r="83">
          <cell r="A83">
            <v>42217</v>
          </cell>
        </row>
        <row r="84">
          <cell r="A84">
            <v>42248</v>
          </cell>
        </row>
        <row r="85">
          <cell r="A85">
            <v>42278</v>
          </cell>
        </row>
        <row r="86">
          <cell r="A86">
            <v>42309</v>
          </cell>
        </row>
        <row r="87">
          <cell r="A87">
            <v>42339</v>
          </cell>
        </row>
      </sheetData>
      <sheetData sheetId="8" refreshError="1">
        <row r="4">
          <cell r="A4" t="str">
            <v>Month</v>
          </cell>
        </row>
        <row r="8">
          <cell r="H8" t="str">
            <v>Price</v>
          </cell>
        </row>
        <row r="9">
          <cell r="H9">
            <v>1954.1501224191293</v>
          </cell>
        </row>
        <row r="10">
          <cell r="H10">
            <v>86589.956745144998</v>
          </cell>
        </row>
        <row r="11">
          <cell r="H11">
            <v>4621.7829550445622</v>
          </cell>
        </row>
        <row r="12">
          <cell r="H12">
            <v>77572.740493537567</v>
          </cell>
        </row>
        <row r="13">
          <cell r="H13">
            <v>91165.12124747847</v>
          </cell>
        </row>
        <row r="14">
          <cell r="H14">
            <v>38587.66284170474</v>
          </cell>
        </row>
        <row r="15">
          <cell r="H15">
            <v>65655.939820655432</v>
          </cell>
        </row>
        <row r="16">
          <cell r="H16">
            <v>62048.001208136673</v>
          </cell>
        </row>
        <row r="17">
          <cell r="H17">
            <v>86347.111501135747</v>
          </cell>
        </row>
        <row r="18">
          <cell r="H18">
            <v>32988.119486861491</v>
          </cell>
        </row>
        <row r="19">
          <cell r="H19">
            <v>5125.2922888126659</v>
          </cell>
        </row>
        <row r="20">
          <cell r="H20">
            <v>43060.826727305554</v>
          </cell>
        </row>
        <row r="21">
          <cell r="H21" t="e">
            <v>#N/A</v>
          </cell>
        </row>
        <row r="22">
          <cell r="H22" t="e">
            <v>#N/A</v>
          </cell>
        </row>
        <row r="23">
          <cell r="H23" t="e">
            <v>#N/A</v>
          </cell>
        </row>
        <row r="24">
          <cell r="H24" t="e">
            <v>#N/A</v>
          </cell>
        </row>
        <row r="25">
          <cell r="H25" t="e">
            <v>#N/A</v>
          </cell>
        </row>
        <row r="26">
          <cell r="H26" t="e">
            <v>#N/A</v>
          </cell>
        </row>
        <row r="27">
          <cell r="H27" t="e">
            <v>#N/A</v>
          </cell>
        </row>
        <row r="28">
          <cell r="H28" t="e">
            <v>#N/A</v>
          </cell>
        </row>
        <row r="29">
          <cell r="H29" t="e">
            <v>#N/A</v>
          </cell>
        </row>
        <row r="30">
          <cell r="H30" t="e">
            <v>#N/A</v>
          </cell>
        </row>
        <row r="31">
          <cell r="H31" t="e">
            <v>#N/A</v>
          </cell>
        </row>
        <row r="32">
          <cell r="H32" t="e">
            <v>#N/A</v>
          </cell>
        </row>
        <row r="33">
          <cell r="H33" t="e">
            <v>#N/A</v>
          </cell>
        </row>
        <row r="34">
          <cell r="H34" t="e">
            <v>#N/A</v>
          </cell>
        </row>
        <row r="35">
          <cell r="H35" t="e">
            <v>#N/A</v>
          </cell>
        </row>
        <row r="36">
          <cell r="H36" t="e">
            <v>#N/A</v>
          </cell>
        </row>
        <row r="37">
          <cell r="H37" t="e">
            <v>#N/A</v>
          </cell>
        </row>
        <row r="38">
          <cell r="H38" t="e">
            <v>#N/A</v>
          </cell>
        </row>
        <row r="39">
          <cell r="H39" t="e">
            <v>#N/A</v>
          </cell>
        </row>
        <row r="40">
          <cell r="H40" t="e">
            <v>#N/A</v>
          </cell>
        </row>
        <row r="41">
          <cell r="H41" t="e">
            <v>#N/A</v>
          </cell>
        </row>
        <row r="42">
          <cell r="H42" t="e">
            <v>#N/A</v>
          </cell>
        </row>
        <row r="43">
          <cell r="H43" t="e">
            <v>#N/A</v>
          </cell>
        </row>
        <row r="44">
          <cell r="H44" t="e">
            <v>#N/A</v>
          </cell>
        </row>
        <row r="45">
          <cell r="H45" t="e">
            <v>#N/A</v>
          </cell>
        </row>
        <row r="46">
          <cell r="H46" t="e">
            <v>#N/A</v>
          </cell>
        </row>
        <row r="47">
          <cell r="H47" t="e">
            <v>#N/A</v>
          </cell>
        </row>
        <row r="48">
          <cell r="H48" t="e">
            <v>#N/A</v>
          </cell>
        </row>
        <row r="49">
          <cell r="H49" t="e">
            <v>#N/A</v>
          </cell>
        </row>
        <row r="50">
          <cell r="H50" t="e">
            <v>#N/A</v>
          </cell>
        </row>
        <row r="51">
          <cell r="H51" t="e">
            <v>#N/A</v>
          </cell>
        </row>
        <row r="52">
          <cell r="H52" t="e">
            <v>#N/A</v>
          </cell>
        </row>
        <row r="53">
          <cell r="H53" t="e">
            <v>#N/A</v>
          </cell>
        </row>
        <row r="54">
          <cell r="H54" t="e">
            <v>#N/A</v>
          </cell>
        </row>
        <row r="55">
          <cell r="H55" t="e">
            <v>#N/A</v>
          </cell>
        </row>
        <row r="56">
          <cell r="H56" t="e">
            <v>#N/A</v>
          </cell>
        </row>
        <row r="57">
          <cell r="H57" t="e">
            <v>#N/A</v>
          </cell>
        </row>
        <row r="58">
          <cell r="H58" t="e">
            <v>#N/A</v>
          </cell>
        </row>
        <row r="59">
          <cell r="H59" t="e">
            <v>#N/A</v>
          </cell>
        </row>
        <row r="60">
          <cell r="H60" t="e">
            <v>#N/A</v>
          </cell>
        </row>
        <row r="61">
          <cell r="H61" t="e">
            <v>#N/A</v>
          </cell>
        </row>
        <row r="62">
          <cell r="H62" t="e">
            <v>#N/A</v>
          </cell>
        </row>
        <row r="63">
          <cell r="H63" t="e">
            <v>#N/A</v>
          </cell>
        </row>
        <row r="64">
          <cell r="H64" t="e">
            <v>#N/A</v>
          </cell>
        </row>
        <row r="65">
          <cell r="H65" t="e">
            <v>#N/A</v>
          </cell>
        </row>
        <row r="66">
          <cell r="H66" t="e">
            <v>#N/A</v>
          </cell>
        </row>
        <row r="67">
          <cell r="H67" t="e">
            <v>#N/A</v>
          </cell>
        </row>
        <row r="68">
          <cell r="H68" t="e">
            <v>#N/A</v>
          </cell>
        </row>
        <row r="69">
          <cell r="H69" t="e">
            <v>#N/A</v>
          </cell>
        </row>
        <row r="70">
          <cell r="H70" t="e">
            <v>#N/A</v>
          </cell>
        </row>
        <row r="71">
          <cell r="H71" t="e">
            <v>#N/A</v>
          </cell>
        </row>
        <row r="72">
          <cell r="H72" t="e">
            <v>#N/A</v>
          </cell>
        </row>
        <row r="73">
          <cell r="H73" t="e">
            <v>#N/A</v>
          </cell>
        </row>
        <row r="74">
          <cell r="H74" t="e">
            <v>#N/A</v>
          </cell>
        </row>
        <row r="75">
          <cell r="H75" t="e">
            <v>#N/A</v>
          </cell>
        </row>
        <row r="76">
          <cell r="H76" t="e">
            <v>#N/A</v>
          </cell>
        </row>
        <row r="77">
          <cell r="H77" t="e">
            <v>#N/A</v>
          </cell>
        </row>
        <row r="78">
          <cell r="H78" t="e">
            <v>#N/A</v>
          </cell>
        </row>
        <row r="79">
          <cell r="H79" t="e">
            <v>#N/A</v>
          </cell>
        </row>
        <row r="80">
          <cell r="H80" t="e">
            <v>#N/A</v>
          </cell>
        </row>
        <row r="81">
          <cell r="H81" t="e">
            <v>#N/A</v>
          </cell>
        </row>
        <row r="82">
          <cell r="H82" t="e">
            <v>#N/A</v>
          </cell>
        </row>
        <row r="83">
          <cell r="H83" t="e">
            <v>#N/A</v>
          </cell>
        </row>
        <row r="84">
          <cell r="H84" t="e">
            <v>#N/A</v>
          </cell>
        </row>
        <row r="85">
          <cell r="H85" t="e">
            <v>#N/A</v>
          </cell>
        </row>
        <row r="86">
          <cell r="H86" t="e">
            <v>#N/A</v>
          </cell>
        </row>
        <row r="87">
          <cell r="H87" t="e">
            <v>#N/A</v>
          </cell>
        </row>
        <row r="88">
          <cell r="H88" t="e">
            <v>#N/A</v>
          </cell>
        </row>
        <row r="89">
          <cell r="H89" t="e">
            <v>#N/A</v>
          </cell>
        </row>
        <row r="90">
          <cell r="H90" t="e">
            <v>#N/A</v>
          </cell>
        </row>
        <row r="91">
          <cell r="H91" t="e">
            <v>#N/A</v>
          </cell>
        </row>
        <row r="92">
          <cell r="H92" t="e">
            <v>#N/A</v>
          </cell>
        </row>
        <row r="93">
          <cell r="H93" t="e">
            <v>#N/A</v>
          </cell>
        </row>
        <row r="94">
          <cell r="H94" t="e">
            <v>#N/A</v>
          </cell>
        </row>
        <row r="95">
          <cell r="H95" t="e">
            <v>#N/A</v>
          </cell>
        </row>
        <row r="96">
          <cell r="H96" t="e">
            <v>#N/A</v>
          </cell>
        </row>
        <row r="97">
          <cell r="H97" t="e">
            <v>#N/A</v>
          </cell>
        </row>
        <row r="98">
          <cell r="H98" t="e">
            <v>#N/A</v>
          </cell>
        </row>
        <row r="99">
          <cell r="H99" t="e">
            <v>#N/A</v>
          </cell>
        </row>
        <row r="100">
          <cell r="H100" t="e">
            <v>#N/A</v>
          </cell>
        </row>
        <row r="101">
          <cell r="H101" t="e">
            <v>#N/A</v>
          </cell>
        </row>
        <row r="102">
          <cell r="H102" t="e">
            <v>#N/A</v>
          </cell>
        </row>
        <row r="103">
          <cell r="H103" t="e">
            <v>#N/A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3"/>
  </sheetPr>
  <dimension ref="A2:B27"/>
  <sheetViews>
    <sheetView showGridLines="0" workbookViewId="0">
      <selection activeCell="E41" sqref="E41"/>
    </sheetView>
  </sheetViews>
  <sheetFormatPr baseColWidth="10" defaultColWidth="8.83203125" defaultRowHeight="15" outlineLevelRow="1"/>
  <sheetData>
    <row r="2" spans="1:2">
      <c r="A2" s="2" t="s">
        <v>12</v>
      </c>
    </row>
    <row r="3" spans="1:2" hidden="1" outlineLevel="1"/>
    <row r="4" spans="1:2" hidden="1" outlineLevel="1">
      <c r="A4" s="1" t="s">
        <v>11</v>
      </c>
    </row>
    <row r="5" spans="1:2" hidden="1" outlineLevel="1"/>
    <row r="6" spans="1:2" collapsed="1"/>
    <row r="7" spans="1:2">
      <c r="A7" s="2" t="s">
        <v>76</v>
      </c>
    </row>
    <row r="8" spans="1:2" hidden="1" outlineLevel="1"/>
    <row r="9" spans="1:2" hidden="1" outlineLevel="1"/>
    <row r="10" spans="1:2" hidden="1" outlineLevel="1">
      <c r="A10" s="1">
        <v>123</v>
      </c>
      <c r="B10" s="1">
        <v>123</v>
      </c>
    </row>
    <row r="11" spans="1:2" hidden="1" outlineLevel="1">
      <c r="A11" s="1">
        <v>123</v>
      </c>
      <c r="B11" s="1">
        <v>123</v>
      </c>
    </row>
    <row r="12" spans="1:2" hidden="1" outlineLevel="1">
      <c r="A12" s="1">
        <v>123</v>
      </c>
      <c r="B12" s="1">
        <v>123</v>
      </c>
    </row>
    <row r="13" spans="1:2" hidden="1" outlineLevel="1"/>
    <row r="14" spans="1:2" collapsed="1"/>
    <row r="15" spans="1:2">
      <c r="A15" s="2" t="s">
        <v>74</v>
      </c>
    </row>
    <row r="16" spans="1:2" hidden="1" outlineLevel="1"/>
    <row r="17" spans="1:1" hidden="1" outlineLevel="1">
      <c r="A17" s="12" t="s">
        <v>13</v>
      </c>
    </row>
    <row r="18" spans="1:1" hidden="1" outlineLevel="1"/>
    <row r="19" spans="1:1" hidden="1" outlineLevel="1"/>
    <row r="20" spans="1:1" hidden="1" outlineLevel="1">
      <c r="A20" s="2" t="s">
        <v>75</v>
      </c>
    </row>
    <row r="21" spans="1:1" hidden="1" outlineLevel="1"/>
    <row r="22" spans="1:1" hidden="1" outlineLevel="1"/>
    <row r="23" spans="1:1" hidden="1" outlineLevel="1"/>
    <row r="24" spans="1:1" hidden="1" outlineLevel="1"/>
    <row r="25" spans="1:1" hidden="1" outlineLevel="1"/>
    <row r="26" spans="1:1" hidden="1" outlineLevel="1"/>
    <row r="27" spans="1:1" collapsed="1"/>
  </sheetData>
  <phoneticPr fontId="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3"/>
  </sheetPr>
  <dimension ref="A2:B43"/>
  <sheetViews>
    <sheetView showGridLines="0" topLeftCell="A16" workbookViewId="0">
      <selection activeCell="B34" sqref="B34"/>
    </sheetView>
  </sheetViews>
  <sheetFormatPr baseColWidth="10" defaultColWidth="9.1640625" defaultRowHeight="15"/>
  <cols>
    <col min="1" max="1" width="27.83203125" style="18" customWidth="1"/>
    <col min="2" max="2" width="17.1640625" style="18" bestFit="1" customWidth="1"/>
    <col min="3" max="16384" width="9.1640625" style="18"/>
  </cols>
  <sheetData>
    <row r="2" spans="1:2">
      <c r="A2" s="75" t="s">
        <v>77</v>
      </c>
    </row>
    <row r="3" spans="1:2">
      <c r="A3" s="75" t="s">
        <v>78</v>
      </c>
    </row>
    <row r="4" spans="1:2">
      <c r="A4" s="17"/>
    </row>
    <row r="5" spans="1:2">
      <c r="A5" s="19" t="s">
        <v>24</v>
      </c>
      <c r="B5" s="19"/>
    </row>
    <row r="6" spans="1:2">
      <c r="A6" s="19" t="s">
        <v>25</v>
      </c>
      <c r="B6" s="19"/>
    </row>
    <row r="7" spans="1:2">
      <c r="A7" s="19" t="s">
        <v>26</v>
      </c>
      <c r="B7" s="19"/>
    </row>
    <row r="8" spans="1:2">
      <c r="A8" s="76" t="s">
        <v>27</v>
      </c>
      <c r="B8" s="74"/>
    </row>
    <row r="9" spans="1:2">
      <c r="A9" s="19" t="s">
        <v>28</v>
      </c>
      <c r="B9" s="19"/>
    </row>
    <row r="10" spans="1:2">
      <c r="A10" s="19" t="s">
        <v>29</v>
      </c>
      <c r="B10" s="19"/>
    </row>
    <row r="11" spans="1:2">
      <c r="A11" s="19" t="s">
        <v>30</v>
      </c>
      <c r="B11" s="19"/>
    </row>
    <row r="12" spans="1:2">
      <c r="A12" s="19" t="s">
        <v>31</v>
      </c>
      <c r="B12" s="19"/>
    </row>
    <row r="13" spans="1:2">
      <c r="A13" s="76" t="s">
        <v>27</v>
      </c>
      <c r="B13" s="74"/>
    </row>
    <row r="14" spans="1:2">
      <c r="A14" s="19" t="s">
        <v>32</v>
      </c>
      <c r="B14" s="19"/>
    </row>
    <row r="15" spans="1:2">
      <c r="A15" s="19" t="s">
        <v>33</v>
      </c>
      <c r="B15" s="19"/>
    </row>
    <row r="16" spans="1:2">
      <c r="A16" s="77" t="s">
        <v>34</v>
      </c>
      <c r="B16" s="19"/>
    </row>
    <row r="17" spans="1:2">
      <c r="A17" s="77" t="s">
        <v>35</v>
      </c>
      <c r="B17" s="19"/>
    </row>
    <row r="18" spans="1:2">
      <c r="A18" s="77" t="s">
        <v>36</v>
      </c>
      <c r="B18" s="19"/>
    </row>
    <row r="19" spans="1:2">
      <c r="A19" s="77" t="s">
        <v>37</v>
      </c>
      <c r="B19" s="19"/>
    </row>
    <row r="20" spans="1:2">
      <c r="A20" s="77" t="s">
        <v>38</v>
      </c>
      <c r="B20" s="19"/>
    </row>
    <row r="21" spans="1:2">
      <c r="A21" s="77" t="s">
        <v>36</v>
      </c>
      <c r="B21" s="19"/>
    </row>
    <row r="22" spans="1:2">
      <c r="A22" s="77" t="s">
        <v>39</v>
      </c>
      <c r="B22" s="19"/>
    </row>
    <row r="23" spans="1:2">
      <c r="A23" s="77" t="s">
        <v>36</v>
      </c>
      <c r="B23" s="19"/>
    </row>
    <row r="24" spans="1:2">
      <c r="A24" s="77" t="s">
        <v>40</v>
      </c>
      <c r="B24" s="19"/>
    </row>
    <row r="25" spans="1:2">
      <c r="A25" s="77" t="s">
        <v>34</v>
      </c>
      <c r="B25" s="19"/>
    </row>
    <row r="26" spans="1:2">
      <c r="A26" s="77" t="s">
        <v>35</v>
      </c>
      <c r="B26" s="19"/>
    </row>
    <row r="27" spans="1:2">
      <c r="A27" s="77" t="s">
        <v>36</v>
      </c>
      <c r="B27" s="19"/>
    </row>
    <row r="28" spans="1:2">
      <c r="A28" s="77" t="s">
        <v>37</v>
      </c>
      <c r="B28" s="19"/>
    </row>
    <row r="29" spans="1:2">
      <c r="A29" s="77" t="s">
        <v>38</v>
      </c>
      <c r="B29" s="19"/>
    </row>
    <row r="30" spans="1:2">
      <c r="A30" s="77" t="s">
        <v>36</v>
      </c>
      <c r="B30" s="19"/>
    </row>
    <row r="31" spans="1:2">
      <c r="A31" s="77" t="s">
        <v>39</v>
      </c>
      <c r="B31" s="19"/>
    </row>
    <row r="32" spans="1:2">
      <c r="A32" s="77" t="s">
        <v>36</v>
      </c>
      <c r="B32" s="19"/>
    </row>
    <row r="33" spans="1:2">
      <c r="A33" s="77" t="s">
        <v>40</v>
      </c>
      <c r="B33" s="19"/>
    </row>
    <row r="34" spans="1:2">
      <c r="A34" s="77" t="s">
        <v>40</v>
      </c>
    </row>
    <row r="35" spans="1:2">
      <c r="A35" s="77" t="s">
        <v>40</v>
      </c>
    </row>
    <row r="36" spans="1:2">
      <c r="A36" s="77" t="s">
        <v>40</v>
      </c>
    </row>
    <row r="37" spans="1:2">
      <c r="A37" s="77" t="s">
        <v>40</v>
      </c>
    </row>
    <row r="38" spans="1:2">
      <c r="A38" s="77" t="s">
        <v>40</v>
      </c>
    </row>
    <row r="39" spans="1:2">
      <c r="A39" s="77" t="s">
        <v>40</v>
      </c>
    </row>
    <row r="40" spans="1:2">
      <c r="A40" s="77" t="s">
        <v>40</v>
      </c>
    </row>
    <row r="41" spans="1:2">
      <c r="A41" s="77" t="s">
        <v>40</v>
      </c>
    </row>
    <row r="42" spans="1:2">
      <c r="A42" s="77" t="s">
        <v>40</v>
      </c>
    </row>
    <row r="43" spans="1:2">
      <c r="A43" s="77" t="s">
        <v>40</v>
      </c>
    </row>
  </sheetData>
  <phoneticPr fontId="5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3"/>
  </sheetPr>
  <dimension ref="A1:O233"/>
  <sheetViews>
    <sheetView tabSelected="1" zoomScale="139" zoomScaleNormal="70" workbookViewId="0">
      <selection activeCell="A70" sqref="A70:K80"/>
    </sheetView>
  </sheetViews>
  <sheetFormatPr baseColWidth="10" defaultColWidth="8" defaultRowHeight="15"/>
  <cols>
    <col min="1" max="1" width="10.33203125" style="58" bestFit="1" customWidth="1"/>
    <col min="2" max="2" width="14.6640625" style="58" bestFit="1" customWidth="1"/>
    <col min="3" max="3" width="14.5" style="58" customWidth="1"/>
    <col min="4" max="4" width="7.83203125" style="58" bestFit="1" customWidth="1"/>
    <col min="5" max="5" width="11" style="58" bestFit="1" customWidth="1"/>
    <col min="6" max="6" width="14.6640625" style="58" bestFit="1" customWidth="1"/>
    <col min="7" max="7" width="12.6640625" style="58" bestFit="1" customWidth="1"/>
    <col min="8" max="8" width="11.33203125" style="60" bestFit="1" customWidth="1"/>
    <col min="9" max="9" width="11.33203125" style="61" bestFit="1" customWidth="1"/>
    <col min="10" max="10" width="12.6640625" style="61" bestFit="1" customWidth="1"/>
    <col min="11" max="11" width="6" style="58" customWidth="1"/>
    <col min="12" max="12" width="33.6640625" style="24" bestFit="1" customWidth="1"/>
    <col min="13" max="13" width="12.6640625" style="61" bestFit="1" customWidth="1"/>
    <col min="14" max="14" width="14.6640625" style="58" bestFit="1" customWidth="1"/>
    <col min="15" max="15" width="5" style="24" customWidth="1"/>
    <col min="16" max="16384" width="8" style="58"/>
  </cols>
  <sheetData>
    <row r="1" spans="1:14" s="24" customFormat="1" ht="21">
      <c r="A1" s="23"/>
      <c r="B1" s="79"/>
      <c r="E1" s="26"/>
      <c r="F1" s="26"/>
      <c r="G1" s="26"/>
      <c r="H1" s="25"/>
      <c r="I1" s="26"/>
      <c r="J1" s="26"/>
      <c r="M1" s="26"/>
    </row>
    <row r="2" spans="1:14" s="24" customFormat="1">
      <c r="E2" s="26"/>
      <c r="F2" s="26"/>
      <c r="G2" s="81" t="s">
        <v>80</v>
      </c>
      <c r="H2" s="25"/>
      <c r="I2" s="26">
        <f>MIN(I4:I13)</f>
        <v>42514</v>
      </c>
      <c r="J2" s="26"/>
      <c r="M2" s="26"/>
    </row>
    <row r="3" spans="1:14" ht="45.75" customHeight="1">
      <c r="A3" s="27" t="s">
        <v>56</v>
      </c>
      <c r="B3" s="27" t="s">
        <v>57</v>
      </c>
      <c r="C3" s="28"/>
      <c r="D3" s="28"/>
      <c r="E3" s="28" t="s">
        <v>58</v>
      </c>
      <c r="F3" s="29" t="s">
        <v>59</v>
      </c>
      <c r="G3" s="30" t="s">
        <v>60</v>
      </c>
      <c r="H3" s="31" t="s">
        <v>61</v>
      </c>
      <c r="I3" s="31" t="s">
        <v>62</v>
      </c>
      <c r="J3" s="31" t="s">
        <v>63</v>
      </c>
      <c r="K3" s="29"/>
      <c r="L3" s="32" t="s">
        <v>64</v>
      </c>
      <c r="M3" s="31" t="s">
        <v>63</v>
      </c>
      <c r="N3" s="30" t="s">
        <v>65</v>
      </c>
    </row>
    <row r="4" spans="1:14" ht="15" customHeight="1">
      <c r="A4" s="33">
        <v>107</v>
      </c>
      <c r="B4" s="78" t="s">
        <v>41</v>
      </c>
      <c r="C4" s="20"/>
      <c r="D4" s="20"/>
      <c r="E4" s="34"/>
      <c r="F4" s="35"/>
      <c r="G4" s="36"/>
      <c r="H4" s="37"/>
      <c r="I4" s="38">
        <v>42514</v>
      </c>
      <c r="J4" s="38">
        <v>42517</v>
      </c>
      <c r="K4" s="39"/>
      <c r="L4" s="40"/>
      <c r="M4" s="38">
        <v>42517</v>
      </c>
      <c r="N4" s="36"/>
    </row>
    <row r="5" spans="1:14">
      <c r="A5" s="33">
        <v>114</v>
      </c>
      <c r="B5" s="20" t="s">
        <v>41</v>
      </c>
      <c r="C5" s="20"/>
      <c r="D5" s="20"/>
      <c r="E5" s="34"/>
      <c r="F5" s="35">
        <f t="shared" ref="F5:F10" si="0">$A$110</f>
        <v>62</v>
      </c>
      <c r="G5" s="36" t="s">
        <v>16</v>
      </c>
      <c r="H5" s="37"/>
      <c r="I5" s="38">
        <v>42514</v>
      </c>
      <c r="J5" s="38">
        <v>42514</v>
      </c>
      <c r="K5" s="39"/>
      <c r="L5" s="40"/>
      <c r="M5" s="38">
        <v>42514</v>
      </c>
      <c r="N5" s="36" t="s">
        <v>66</v>
      </c>
    </row>
    <row r="6" spans="1:14" ht="15.75" customHeight="1">
      <c r="A6" s="33">
        <v>115</v>
      </c>
      <c r="B6" s="20" t="s">
        <v>41</v>
      </c>
      <c r="C6" s="20"/>
      <c r="D6" s="20"/>
      <c r="E6" s="34"/>
      <c r="F6" s="35">
        <f t="shared" si="0"/>
        <v>62</v>
      </c>
      <c r="G6" s="36" t="s">
        <v>16</v>
      </c>
      <c r="H6" s="37"/>
      <c r="I6" s="38">
        <v>42514</v>
      </c>
      <c r="J6" s="38">
        <v>42514</v>
      </c>
      <c r="K6" s="39"/>
      <c r="L6" s="40"/>
      <c r="M6" s="38">
        <v>42514</v>
      </c>
      <c r="N6" s="36" t="s">
        <v>66</v>
      </c>
    </row>
    <row r="7" spans="1:14" ht="15" customHeight="1">
      <c r="A7" s="33">
        <v>116</v>
      </c>
      <c r="B7" s="20" t="s">
        <v>41</v>
      </c>
      <c r="C7" s="20"/>
      <c r="D7" s="20"/>
      <c r="E7" s="34"/>
      <c r="F7" s="35">
        <f t="shared" si="0"/>
        <v>62</v>
      </c>
      <c r="G7" s="36" t="s">
        <v>16</v>
      </c>
      <c r="H7" s="37"/>
      <c r="I7" s="38">
        <v>42514</v>
      </c>
      <c r="J7" s="38">
        <v>42514</v>
      </c>
      <c r="K7" s="39"/>
      <c r="L7" s="40"/>
      <c r="M7" s="38">
        <v>42514</v>
      </c>
      <c r="N7" s="36" t="s">
        <v>66</v>
      </c>
    </row>
    <row r="8" spans="1:14" ht="15" customHeight="1">
      <c r="A8" s="33">
        <v>117</v>
      </c>
      <c r="B8" s="20" t="s">
        <v>41</v>
      </c>
      <c r="C8" s="41"/>
      <c r="D8" s="20"/>
      <c r="E8" s="34"/>
      <c r="F8" s="35">
        <f t="shared" si="0"/>
        <v>62</v>
      </c>
      <c r="G8" s="36"/>
      <c r="H8" s="37"/>
      <c r="I8" s="38">
        <v>42514</v>
      </c>
      <c r="J8" s="38">
        <v>42514</v>
      </c>
      <c r="K8" s="39"/>
      <c r="L8" s="40"/>
      <c r="M8" s="38">
        <v>42514</v>
      </c>
      <c r="N8" s="36" t="s">
        <v>66</v>
      </c>
    </row>
    <row r="9" spans="1:14">
      <c r="A9" s="33">
        <v>118</v>
      </c>
      <c r="B9" s="78" t="s">
        <v>41</v>
      </c>
      <c r="C9" s="20"/>
      <c r="D9" s="20"/>
      <c r="E9" s="34"/>
      <c r="F9" s="35">
        <f t="shared" si="0"/>
        <v>62</v>
      </c>
      <c r="G9" s="36"/>
      <c r="H9" s="37"/>
      <c r="I9" s="38">
        <v>42514</v>
      </c>
      <c r="J9" s="38">
        <v>42514</v>
      </c>
      <c r="K9" s="39"/>
      <c r="L9" s="40"/>
      <c r="M9" s="38">
        <v>42514</v>
      </c>
      <c r="N9" s="36" t="s">
        <v>66</v>
      </c>
    </row>
    <row r="10" spans="1:14" ht="15" customHeight="1">
      <c r="A10" s="33">
        <v>119</v>
      </c>
      <c r="B10" s="20" t="s">
        <v>41</v>
      </c>
      <c r="C10" s="20"/>
      <c r="D10" s="20"/>
      <c r="E10" s="34"/>
      <c r="F10" s="35">
        <f t="shared" si="0"/>
        <v>62</v>
      </c>
      <c r="G10" s="36"/>
      <c r="H10" s="37"/>
      <c r="I10" s="38">
        <v>42514</v>
      </c>
      <c r="J10" s="38">
        <v>42514</v>
      </c>
      <c r="K10" s="39"/>
      <c r="L10" s="40"/>
      <c r="M10" s="38">
        <v>42514</v>
      </c>
      <c r="N10" s="36" t="s">
        <v>66</v>
      </c>
    </row>
    <row r="11" spans="1:14" ht="15" customHeight="1">
      <c r="A11" s="33">
        <v>120</v>
      </c>
      <c r="B11" s="20" t="s">
        <v>41</v>
      </c>
      <c r="C11" s="20"/>
      <c r="D11" s="20"/>
      <c r="E11" s="34"/>
      <c r="F11" s="35"/>
      <c r="G11" s="36"/>
      <c r="H11" s="37"/>
      <c r="I11" s="38">
        <v>42514</v>
      </c>
      <c r="J11" s="38">
        <v>42517</v>
      </c>
      <c r="K11" s="39"/>
      <c r="L11" s="40"/>
      <c r="M11" s="38">
        <v>42517</v>
      </c>
      <c r="N11" s="36" t="s">
        <v>66</v>
      </c>
    </row>
    <row r="12" spans="1:14">
      <c r="A12" s="33">
        <v>121</v>
      </c>
      <c r="B12" s="20" t="s">
        <v>41</v>
      </c>
      <c r="C12" s="20"/>
      <c r="D12" s="20"/>
      <c r="E12" s="34"/>
      <c r="F12" s="35"/>
      <c r="G12" s="36"/>
      <c r="H12" s="37"/>
      <c r="I12" s="38">
        <v>42514</v>
      </c>
      <c r="J12" s="38">
        <v>42517</v>
      </c>
      <c r="K12" s="39"/>
      <c r="L12" s="40"/>
      <c r="M12" s="38">
        <v>42517</v>
      </c>
      <c r="N12" s="36" t="s">
        <v>66</v>
      </c>
    </row>
    <row r="13" spans="1:14" s="50" customFormat="1" ht="15" customHeight="1">
      <c r="A13" s="42">
        <v>122</v>
      </c>
      <c r="B13" s="21" t="s">
        <v>41</v>
      </c>
      <c r="C13" s="21"/>
      <c r="D13" s="21"/>
      <c r="E13" s="43"/>
      <c r="F13" s="44"/>
      <c r="G13" s="45"/>
      <c r="H13" s="46"/>
      <c r="I13" s="47">
        <v>42514</v>
      </c>
      <c r="J13" s="47">
        <v>42517</v>
      </c>
      <c r="K13" s="48"/>
      <c r="L13" s="49"/>
      <c r="M13" s="47">
        <v>42517</v>
      </c>
      <c r="N13" s="45" t="s">
        <v>66</v>
      </c>
    </row>
    <row r="14" spans="1:14">
      <c r="A14" s="33">
        <v>71</v>
      </c>
      <c r="B14" s="21" t="s">
        <v>42</v>
      </c>
      <c r="C14" s="20"/>
      <c r="D14" s="20"/>
      <c r="E14" s="34"/>
      <c r="F14" s="35">
        <f>$A$56</f>
        <v>113</v>
      </c>
      <c r="G14" s="36" t="s">
        <v>16</v>
      </c>
      <c r="H14" s="51" t="s">
        <v>67</v>
      </c>
      <c r="I14" s="52">
        <v>42429</v>
      </c>
      <c r="J14" s="52">
        <v>42482</v>
      </c>
      <c r="K14" s="39"/>
      <c r="L14" s="40"/>
      <c r="M14" s="52">
        <v>42482</v>
      </c>
      <c r="N14" s="36" t="s">
        <v>66</v>
      </c>
    </row>
    <row r="15" spans="1:14">
      <c r="A15" s="33">
        <v>72</v>
      </c>
      <c r="B15" s="20" t="s">
        <v>42</v>
      </c>
      <c r="C15" s="20"/>
      <c r="D15" s="20"/>
      <c r="E15" s="34"/>
      <c r="F15" s="35">
        <f>$A$56</f>
        <v>113</v>
      </c>
      <c r="G15" s="36" t="s">
        <v>16</v>
      </c>
      <c r="H15" s="51" t="s">
        <v>67</v>
      </c>
      <c r="I15" s="38">
        <v>42429</v>
      </c>
      <c r="J15" s="38">
        <v>42461</v>
      </c>
      <c r="K15" s="39"/>
      <c r="L15" s="40"/>
      <c r="M15" s="38">
        <v>42461</v>
      </c>
      <c r="N15" s="36" t="s">
        <v>66</v>
      </c>
    </row>
    <row r="16" spans="1:14" ht="15" customHeight="1">
      <c r="A16" s="33">
        <v>73</v>
      </c>
      <c r="B16" s="20" t="s">
        <v>42</v>
      </c>
      <c r="C16" s="20"/>
      <c r="D16" s="20"/>
      <c r="E16" s="34"/>
      <c r="F16" s="35">
        <f>$A$56</f>
        <v>113</v>
      </c>
      <c r="G16" s="36"/>
      <c r="H16" s="51" t="s">
        <v>67</v>
      </c>
      <c r="I16" s="38">
        <v>42429</v>
      </c>
      <c r="J16" s="38">
        <v>42461</v>
      </c>
      <c r="K16" s="39"/>
      <c r="L16" s="40"/>
      <c r="M16" s="38">
        <v>42461</v>
      </c>
      <c r="N16" s="36" t="s">
        <v>66</v>
      </c>
    </row>
    <row r="17" spans="1:14" ht="15" customHeight="1">
      <c r="A17" s="33">
        <v>74</v>
      </c>
      <c r="B17" s="20" t="s">
        <v>42</v>
      </c>
      <c r="C17" s="20"/>
      <c r="D17" s="20"/>
      <c r="E17" s="34"/>
      <c r="F17" s="35">
        <f>A15</f>
        <v>72</v>
      </c>
      <c r="G17" s="36" t="s">
        <v>16</v>
      </c>
      <c r="H17" s="51" t="s">
        <v>67</v>
      </c>
      <c r="I17" s="38">
        <v>42429</v>
      </c>
      <c r="J17" s="38">
        <v>42461</v>
      </c>
      <c r="K17" s="39"/>
      <c r="L17" s="40"/>
      <c r="M17" s="38">
        <v>42461</v>
      </c>
      <c r="N17" s="36" t="s">
        <v>66</v>
      </c>
    </row>
    <row r="18" spans="1:14" ht="15" customHeight="1">
      <c r="A18" s="33">
        <v>75</v>
      </c>
      <c r="B18" s="20" t="s">
        <v>42</v>
      </c>
      <c r="C18" s="20"/>
      <c r="D18" s="20"/>
      <c r="E18" s="34"/>
      <c r="F18" s="35">
        <f>A15</f>
        <v>72</v>
      </c>
      <c r="G18" s="36" t="s">
        <v>16</v>
      </c>
      <c r="H18" s="51" t="s">
        <v>67</v>
      </c>
      <c r="I18" s="38">
        <v>42429</v>
      </c>
      <c r="J18" s="38">
        <v>42461</v>
      </c>
      <c r="K18" s="39"/>
      <c r="L18" s="40"/>
      <c r="M18" s="38">
        <v>42461</v>
      </c>
      <c r="N18" s="36" t="s">
        <v>66</v>
      </c>
    </row>
    <row r="19" spans="1:14" s="24" customFormat="1" ht="15" customHeight="1">
      <c r="A19" s="33">
        <v>76</v>
      </c>
      <c r="B19" s="20" t="s">
        <v>42</v>
      </c>
      <c r="C19" s="20"/>
      <c r="D19" s="20"/>
      <c r="E19" s="34"/>
      <c r="F19" s="35">
        <f>A14</f>
        <v>71</v>
      </c>
      <c r="G19" s="36" t="s">
        <v>16</v>
      </c>
      <c r="H19" s="51" t="s">
        <v>67</v>
      </c>
      <c r="I19" s="38">
        <v>42429</v>
      </c>
      <c r="J19" s="38">
        <v>42461</v>
      </c>
      <c r="K19" s="39"/>
      <c r="L19" s="40"/>
      <c r="M19" s="38">
        <v>42461</v>
      </c>
      <c r="N19" s="36" t="s">
        <v>66</v>
      </c>
    </row>
    <row r="20" spans="1:14" s="24" customFormat="1" ht="15" customHeight="1">
      <c r="A20" s="33">
        <v>77</v>
      </c>
      <c r="B20" s="20" t="s">
        <v>42</v>
      </c>
      <c r="C20" s="20"/>
      <c r="D20" s="20"/>
      <c r="E20" s="34"/>
      <c r="F20" s="35">
        <f>A18</f>
        <v>75</v>
      </c>
      <c r="G20" s="36" t="s">
        <v>16</v>
      </c>
      <c r="H20" s="51" t="s">
        <v>67</v>
      </c>
      <c r="I20" s="38">
        <v>42464</v>
      </c>
      <c r="J20" s="52">
        <v>42468</v>
      </c>
      <c r="K20" s="39"/>
      <c r="L20" s="40"/>
      <c r="M20" s="52">
        <v>42468</v>
      </c>
      <c r="N20" s="36" t="s">
        <v>66</v>
      </c>
    </row>
    <row r="21" spans="1:14" s="24" customFormat="1" ht="15" customHeight="1">
      <c r="A21" s="33">
        <v>78</v>
      </c>
      <c r="B21" s="20" t="s">
        <v>42</v>
      </c>
      <c r="C21" s="20"/>
      <c r="D21" s="20"/>
      <c r="E21" s="34"/>
      <c r="F21" s="35">
        <f t="shared" ref="F21:F28" si="1">$A$56</f>
        <v>113</v>
      </c>
      <c r="G21" s="36" t="s">
        <v>16</v>
      </c>
      <c r="H21" s="51" t="s">
        <v>67</v>
      </c>
      <c r="I21" s="38">
        <v>42475</v>
      </c>
      <c r="J21" s="52">
        <v>42482</v>
      </c>
      <c r="K21" s="39"/>
      <c r="L21" s="40"/>
      <c r="M21" s="52">
        <v>42482</v>
      </c>
      <c r="N21" s="36" t="s">
        <v>66</v>
      </c>
    </row>
    <row r="22" spans="1:14" s="24" customFormat="1" ht="15" customHeight="1">
      <c r="A22" s="33">
        <v>79</v>
      </c>
      <c r="B22" s="20" t="s">
        <v>42</v>
      </c>
      <c r="C22" s="20"/>
      <c r="D22" s="20"/>
      <c r="E22" s="34"/>
      <c r="F22" s="35">
        <f t="shared" si="1"/>
        <v>113</v>
      </c>
      <c r="G22" s="36" t="s">
        <v>16</v>
      </c>
      <c r="H22" s="51" t="s">
        <v>67</v>
      </c>
      <c r="I22" s="38">
        <v>42475</v>
      </c>
      <c r="J22" s="52">
        <v>42482</v>
      </c>
      <c r="K22" s="39"/>
      <c r="L22" s="40"/>
      <c r="M22" s="52">
        <v>42482</v>
      </c>
      <c r="N22" s="36" t="s">
        <v>66</v>
      </c>
    </row>
    <row r="23" spans="1:14" s="24" customFormat="1" ht="15" customHeight="1">
      <c r="A23" s="33">
        <v>80</v>
      </c>
      <c r="B23" s="20" t="s">
        <v>42</v>
      </c>
      <c r="C23" s="20"/>
      <c r="D23" s="20"/>
      <c r="E23" s="34"/>
      <c r="F23" s="35">
        <f t="shared" si="1"/>
        <v>113</v>
      </c>
      <c r="G23" s="36" t="s">
        <v>16</v>
      </c>
      <c r="H23" s="51" t="s">
        <v>67</v>
      </c>
      <c r="I23" s="38">
        <v>42475</v>
      </c>
      <c r="J23" s="52">
        <v>42482</v>
      </c>
      <c r="K23" s="39"/>
      <c r="L23" s="40"/>
      <c r="M23" s="52">
        <v>42482</v>
      </c>
      <c r="N23" s="36" t="s">
        <v>66</v>
      </c>
    </row>
    <row r="24" spans="1:14" s="24" customFormat="1" ht="15" customHeight="1">
      <c r="A24" s="33">
        <v>81</v>
      </c>
      <c r="B24" s="20" t="s">
        <v>42</v>
      </c>
      <c r="C24" s="20"/>
      <c r="D24" s="20"/>
      <c r="E24" s="34"/>
      <c r="F24" s="35">
        <f t="shared" si="1"/>
        <v>113</v>
      </c>
      <c r="G24" s="36" t="s">
        <v>16</v>
      </c>
      <c r="H24" s="51" t="s">
        <v>67</v>
      </c>
      <c r="I24" s="38">
        <v>42475</v>
      </c>
      <c r="J24" s="52">
        <v>42482</v>
      </c>
      <c r="K24" s="39"/>
      <c r="L24" s="40"/>
      <c r="M24" s="52">
        <v>42482</v>
      </c>
      <c r="N24" s="36" t="s">
        <v>66</v>
      </c>
    </row>
    <row r="25" spans="1:14" s="24" customFormat="1" ht="15" customHeight="1">
      <c r="A25" s="33">
        <v>82</v>
      </c>
      <c r="B25" s="20" t="s">
        <v>42</v>
      </c>
      <c r="C25" s="20"/>
      <c r="D25" s="20"/>
      <c r="E25" s="34"/>
      <c r="F25" s="35">
        <f t="shared" si="1"/>
        <v>113</v>
      </c>
      <c r="G25" s="36" t="s">
        <v>16</v>
      </c>
      <c r="H25" s="51" t="s">
        <v>67</v>
      </c>
      <c r="I25" s="38">
        <v>42475</v>
      </c>
      <c r="J25" s="52">
        <v>42482</v>
      </c>
      <c r="K25" s="39"/>
      <c r="L25" s="40"/>
      <c r="M25" s="52">
        <v>42482</v>
      </c>
      <c r="N25" s="36" t="s">
        <v>66</v>
      </c>
    </row>
    <row r="26" spans="1:14" s="24" customFormat="1" ht="15" customHeight="1">
      <c r="A26" s="33">
        <v>83</v>
      </c>
      <c r="B26" s="20" t="s">
        <v>42</v>
      </c>
      <c r="C26" s="20"/>
      <c r="D26" s="20"/>
      <c r="E26" s="34"/>
      <c r="F26" s="35">
        <f t="shared" si="1"/>
        <v>113</v>
      </c>
      <c r="G26" s="36" t="s">
        <v>16</v>
      </c>
      <c r="H26" s="51" t="s">
        <v>67</v>
      </c>
      <c r="I26" s="38">
        <v>42475</v>
      </c>
      <c r="J26" s="52">
        <v>42482</v>
      </c>
      <c r="K26" s="39"/>
      <c r="L26" s="40"/>
      <c r="M26" s="52">
        <v>42482</v>
      </c>
      <c r="N26" s="36" t="s">
        <v>66</v>
      </c>
    </row>
    <row r="27" spans="1:14" s="24" customFormat="1" ht="15" customHeight="1">
      <c r="A27" s="33">
        <v>84</v>
      </c>
      <c r="B27" s="20" t="s">
        <v>42</v>
      </c>
      <c r="C27" s="20"/>
      <c r="D27" s="20"/>
      <c r="E27" s="34"/>
      <c r="F27" s="35">
        <f t="shared" si="1"/>
        <v>113</v>
      </c>
      <c r="G27" s="36" t="s">
        <v>16</v>
      </c>
      <c r="H27" s="51" t="s">
        <v>67</v>
      </c>
      <c r="I27" s="52">
        <v>42482</v>
      </c>
      <c r="J27" s="52">
        <v>42485</v>
      </c>
      <c r="K27" s="39"/>
      <c r="L27" s="40"/>
      <c r="M27" s="52">
        <v>42485</v>
      </c>
      <c r="N27" s="36" t="s">
        <v>66</v>
      </c>
    </row>
    <row r="28" spans="1:14" s="24" customFormat="1">
      <c r="A28" s="33">
        <v>85</v>
      </c>
      <c r="B28" s="20" t="s">
        <v>42</v>
      </c>
      <c r="C28" s="20"/>
      <c r="D28" s="20"/>
      <c r="E28" s="34"/>
      <c r="F28" s="35">
        <f t="shared" si="1"/>
        <v>113</v>
      </c>
      <c r="G28" s="36" t="s">
        <v>16</v>
      </c>
      <c r="H28" s="51" t="s">
        <v>67</v>
      </c>
      <c r="I28" s="38">
        <v>42475</v>
      </c>
      <c r="J28" s="52">
        <v>42489</v>
      </c>
      <c r="K28" s="39"/>
      <c r="L28" s="40"/>
      <c r="M28" s="52">
        <v>42489</v>
      </c>
      <c r="N28" s="36" t="s">
        <v>66</v>
      </c>
    </row>
    <row r="29" spans="1:14" s="24" customFormat="1" ht="15" customHeight="1">
      <c r="A29" s="33">
        <v>91</v>
      </c>
      <c r="B29" s="20" t="s">
        <v>42</v>
      </c>
      <c r="C29" s="20"/>
      <c r="D29" s="20"/>
      <c r="E29" s="34"/>
      <c r="F29" s="35">
        <f>A21</f>
        <v>78</v>
      </c>
      <c r="G29" s="36"/>
      <c r="H29" s="51" t="s">
        <v>67</v>
      </c>
      <c r="I29" s="38">
        <v>42485</v>
      </c>
      <c r="J29" s="52">
        <v>42487</v>
      </c>
      <c r="K29" s="39"/>
      <c r="L29" s="40"/>
      <c r="M29" s="52">
        <v>42487</v>
      </c>
      <c r="N29" s="36" t="s">
        <v>66</v>
      </c>
    </row>
    <row r="30" spans="1:14" s="24" customFormat="1">
      <c r="A30" s="33">
        <v>92</v>
      </c>
      <c r="B30" s="20" t="s">
        <v>42</v>
      </c>
      <c r="C30" s="20"/>
      <c r="D30" s="20"/>
      <c r="E30" s="34"/>
      <c r="F30" s="35">
        <f>A21</f>
        <v>78</v>
      </c>
      <c r="G30" s="36" t="s">
        <v>16</v>
      </c>
      <c r="H30" s="51" t="s">
        <v>67</v>
      </c>
      <c r="I30" s="38">
        <v>42485</v>
      </c>
      <c r="J30" s="52">
        <v>42488</v>
      </c>
      <c r="K30" s="39"/>
      <c r="L30" s="40"/>
      <c r="M30" s="52">
        <v>42488</v>
      </c>
      <c r="N30" s="36" t="s">
        <v>66</v>
      </c>
    </row>
    <row r="31" spans="1:14" s="24" customFormat="1" ht="15" customHeight="1">
      <c r="A31" s="33">
        <v>93</v>
      </c>
      <c r="B31" s="20" t="s">
        <v>42</v>
      </c>
      <c r="C31" s="20"/>
      <c r="D31" s="20"/>
      <c r="E31" s="34"/>
      <c r="F31" s="35">
        <f>A30</f>
        <v>92</v>
      </c>
      <c r="G31" s="36" t="s">
        <v>16</v>
      </c>
      <c r="H31" s="51" t="s">
        <v>67</v>
      </c>
      <c r="I31" s="52">
        <v>42488</v>
      </c>
      <c r="J31" s="52">
        <v>42489</v>
      </c>
      <c r="K31" s="39"/>
      <c r="L31" s="40"/>
      <c r="M31" s="52">
        <v>42489</v>
      </c>
      <c r="N31" s="36" t="s">
        <v>66</v>
      </c>
    </row>
    <row r="32" spans="1:14" s="24" customFormat="1" ht="15" customHeight="1">
      <c r="A32" s="33">
        <v>94</v>
      </c>
      <c r="B32" s="20" t="s">
        <v>42</v>
      </c>
      <c r="C32" s="20"/>
      <c r="D32" s="20"/>
      <c r="E32" s="34"/>
      <c r="F32" s="35"/>
      <c r="G32" s="36"/>
      <c r="H32" s="51" t="s">
        <v>67</v>
      </c>
      <c r="I32" s="38">
        <v>42416</v>
      </c>
      <c r="J32" s="38">
        <v>42426</v>
      </c>
      <c r="K32" s="39"/>
      <c r="L32" s="40"/>
      <c r="M32" s="38">
        <v>42426</v>
      </c>
      <c r="N32" s="36" t="s">
        <v>66</v>
      </c>
    </row>
    <row r="33" spans="1:14" s="24" customFormat="1">
      <c r="A33" s="33">
        <v>95</v>
      </c>
      <c r="B33" s="20" t="s">
        <v>42</v>
      </c>
      <c r="C33" s="20"/>
      <c r="D33" s="20"/>
      <c r="E33" s="34"/>
      <c r="F33" s="35"/>
      <c r="G33" s="36" t="s">
        <v>16</v>
      </c>
      <c r="H33" s="37"/>
      <c r="I33" s="38">
        <v>42429</v>
      </c>
      <c r="J33" s="52">
        <v>42454</v>
      </c>
      <c r="K33" s="39"/>
      <c r="L33" s="40"/>
      <c r="M33" s="52">
        <v>42454</v>
      </c>
      <c r="N33" s="36" t="s">
        <v>66</v>
      </c>
    </row>
    <row r="34" spans="1:14" s="24" customFormat="1">
      <c r="A34" s="33">
        <v>96</v>
      </c>
      <c r="B34" s="20" t="s">
        <v>42</v>
      </c>
      <c r="C34" s="20"/>
      <c r="D34" s="20"/>
      <c r="E34" s="34"/>
      <c r="F34" s="35">
        <f>$A$56</f>
        <v>113</v>
      </c>
      <c r="G34" s="36" t="s">
        <v>16</v>
      </c>
      <c r="H34" s="51" t="s">
        <v>67</v>
      </c>
      <c r="I34" s="38">
        <v>42429</v>
      </c>
      <c r="J34" s="52">
        <v>42489</v>
      </c>
      <c r="K34" s="39"/>
      <c r="L34" s="40"/>
      <c r="M34" s="52">
        <v>42489</v>
      </c>
      <c r="N34" s="36" t="s">
        <v>66</v>
      </c>
    </row>
    <row r="35" spans="1:14" s="24" customFormat="1">
      <c r="A35" s="33">
        <v>97</v>
      </c>
      <c r="B35" s="20" t="s">
        <v>42</v>
      </c>
      <c r="C35" s="20"/>
      <c r="D35" s="20"/>
      <c r="E35" s="34"/>
      <c r="F35" s="35">
        <f>$A$56</f>
        <v>113</v>
      </c>
      <c r="G35" s="36" t="s">
        <v>16</v>
      </c>
      <c r="H35" s="51" t="s">
        <v>67</v>
      </c>
      <c r="I35" s="38">
        <v>42429</v>
      </c>
      <c r="J35" s="52">
        <v>42454</v>
      </c>
      <c r="K35" s="39"/>
      <c r="L35" s="40"/>
      <c r="M35" s="52">
        <v>42454</v>
      </c>
      <c r="N35" s="36" t="s">
        <v>66</v>
      </c>
    </row>
    <row r="36" spans="1:14" s="24" customFormat="1">
      <c r="A36" s="33">
        <v>98</v>
      </c>
      <c r="B36" s="20" t="s">
        <v>42</v>
      </c>
      <c r="C36" s="20"/>
      <c r="D36" s="20"/>
      <c r="E36" s="34"/>
      <c r="F36" s="35">
        <f>A13</f>
        <v>122</v>
      </c>
      <c r="G36" s="36" t="s">
        <v>16</v>
      </c>
      <c r="H36" s="51" t="s">
        <v>67</v>
      </c>
      <c r="I36" s="38">
        <v>42485</v>
      </c>
      <c r="J36" s="52">
        <v>42489</v>
      </c>
      <c r="K36" s="39"/>
      <c r="L36" s="40"/>
      <c r="M36" s="52">
        <v>42489</v>
      </c>
      <c r="N36" s="36" t="s">
        <v>66</v>
      </c>
    </row>
    <row r="37" spans="1:14" s="24" customFormat="1">
      <c r="A37" s="33">
        <v>99</v>
      </c>
      <c r="B37" s="20" t="s">
        <v>42</v>
      </c>
      <c r="C37" s="20"/>
      <c r="D37" s="20"/>
      <c r="E37" s="34"/>
      <c r="F37" s="35">
        <f>A36</f>
        <v>98</v>
      </c>
      <c r="G37" s="36"/>
      <c r="H37" s="51" t="s">
        <v>67</v>
      </c>
      <c r="I37" s="38">
        <v>42492</v>
      </c>
      <c r="J37" s="38">
        <v>42496</v>
      </c>
      <c r="K37" s="39"/>
      <c r="L37" s="40"/>
      <c r="M37" s="38">
        <v>42496</v>
      </c>
      <c r="N37" s="36" t="s">
        <v>66</v>
      </c>
    </row>
    <row r="38" spans="1:14" s="24" customFormat="1">
      <c r="A38" s="33">
        <v>100</v>
      </c>
      <c r="B38" s="20" t="s">
        <v>42</v>
      </c>
      <c r="C38" s="20"/>
      <c r="D38" s="20"/>
      <c r="E38" s="34"/>
      <c r="F38" s="35">
        <f>A10</f>
        <v>119</v>
      </c>
      <c r="G38" s="36" t="s">
        <v>16</v>
      </c>
      <c r="H38" s="51" t="s">
        <v>67</v>
      </c>
      <c r="I38" s="38">
        <v>42479</v>
      </c>
      <c r="J38" s="52">
        <v>42489</v>
      </c>
      <c r="K38" s="39"/>
      <c r="L38" s="40"/>
      <c r="M38" s="52">
        <v>42489</v>
      </c>
      <c r="N38" s="36" t="s">
        <v>66</v>
      </c>
    </row>
    <row r="39" spans="1:14" s="24" customFormat="1">
      <c r="A39" s="33">
        <v>101</v>
      </c>
      <c r="B39" s="20" t="s">
        <v>42</v>
      </c>
      <c r="C39" s="20"/>
      <c r="D39" s="20"/>
      <c r="E39" s="34"/>
      <c r="F39" s="35">
        <f>$A$56</f>
        <v>113</v>
      </c>
      <c r="G39" s="36" t="s">
        <v>16</v>
      </c>
      <c r="H39" s="51" t="s">
        <v>67</v>
      </c>
      <c r="I39" s="38">
        <v>42429</v>
      </c>
      <c r="J39" s="38">
        <v>42485</v>
      </c>
      <c r="K39" s="39"/>
      <c r="L39" s="40"/>
      <c r="M39" s="38">
        <v>42485</v>
      </c>
      <c r="N39" s="36" t="s">
        <v>66</v>
      </c>
    </row>
    <row r="40" spans="1:14" s="24" customFormat="1">
      <c r="A40" s="33">
        <v>86</v>
      </c>
      <c r="B40" s="20" t="s">
        <v>43</v>
      </c>
      <c r="C40" s="20"/>
      <c r="D40" s="20"/>
      <c r="E40" s="34"/>
      <c r="F40" s="35">
        <f>A32</f>
        <v>94</v>
      </c>
      <c r="G40" s="36"/>
      <c r="H40" s="37"/>
      <c r="I40" s="38">
        <v>42486</v>
      </c>
      <c r="J40" s="52">
        <v>42489</v>
      </c>
      <c r="K40" s="39"/>
      <c r="L40" s="40"/>
      <c r="M40" s="52">
        <v>42489</v>
      </c>
      <c r="N40" s="36" t="s">
        <v>66</v>
      </c>
    </row>
    <row r="41" spans="1:14" s="24" customFormat="1">
      <c r="A41" s="33">
        <v>87</v>
      </c>
      <c r="B41" s="20" t="s">
        <v>43</v>
      </c>
      <c r="C41" s="20"/>
      <c r="D41" s="20"/>
      <c r="E41" s="34"/>
      <c r="F41" s="35">
        <f>A33</f>
        <v>95</v>
      </c>
      <c r="G41" s="36"/>
      <c r="H41" s="37"/>
      <c r="I41" s="38">
        <v>42486</v>
      </c>
      <c r="J41" s="52">
        <v>42489</v>
      </c>
      <c r="K41" s="39"/>
      <c r="L41" s="40"/>
      <c r="M41" s="52">
        <v>42489</v>
      </c>
      <c r="N41" s="36" t="s">
        <v>66</v>
      </c>
    </row>
    <row r="42" spans="1:14" s="24" customFormat="1">
      <c r="A42" s="33">
        <v>88</v>
      </c>
      <c r="B42" s="20" t="s">
        <v>43</v>
      </c>
      <c r="C42" s="20"/>
      <c r="D42" s="20"/>
      <c r="E42" s="34"/>
      <c r="F42" s="35">
        <f>A34</f>
        <v>96</v>
      </c>
      <c r="G42" s="36"/>
      <c r="H42" s="37"/>
      <c r="I42" s="38">
        <v>42486</v>
      </c>
      <c r="J42" s="52">
        <v>42489</v>
      </c>
      <c r="K42" s="39"/>
      <c r="L42" s="40"/>
      <c r="M42" s="52">
        <v>42489</v>
      </c>
      <c r="N42" s="36" t="s">
        <v>66</v>
      </c>
    </row>
    <row r="43" spans="1:14" s="24" customFormat="1">
      <c r="A43" s="33">
        <v>89</v>
      </c>
      <c r="B43" s="20" t="s">
        <v>43</v>
      </c>
      <c r="C43" s="20"/>
      <c r="D43" s="20"/>
      <c r="E43" s="34"/>
      <c r="F43" s="35">
        <f>A35</f>
        <v>97</v>
      </c>
      <c r="G43" s="36"/>
      <c r="H43" s="37"/>
      <c r="I43" s="38">
        <v>42486</v>
      </c>
      <c r="J43" s="52">
        <v>42489</v>
      </c>
      <c r="K43" s="39"/>
      <c r="L43" s="40"/>
      <c r="M43" s="52">
        <v>42489</v>
      </c>
      <c r="N43" s="36" t="s">
        <v>66</v>
      </c>
    </row>
    <row r="44" spans="1:14" s="24" customFormat="1">
      <c r="A44" s="33">
        <v>90</v>
      </c>
      <c r="B44" s="20" t="s">
        <v>43</v>
      </c>
      <c r="C44" s="20"/>
      <c r="D44" s="20"/>
      <c r="E44" s="34"/>
      <c r="F44" s="35">
        <f>A36</f>
        <v>98</v>
      </c>
      <c r="G44" s="36"/>
      <c r="H44" s="37"/>
      <c r="I44" s="38">
        <v>42486</v>
      </c>
      <c r="J44" s="52">
        <v>42489</v>
      </c>
      <c r="K44" s="39"/>
      <c r="L44" s="40"/>
      <c r="M44" s="52">
        <v>42489</v>
      </c>
      <c r="N44" s="36" t="s">
        <v>66</v>
      </c>
    </row>
    <row r="45" spans="1:14" s="24" customFormat="1">
      <c r="A45" s="33">
        <v>102</v>
      </c>
      <c r="B45" s="20" t="s">
        <v>43</v>
      </c>
      <c r="C45" s="20"/>
      <c r="D45" s="20"/>
      <c r="E45" s="34"/>
      <c r="F45" s="35"/>
      <c r="G45" s="36"/>
      <c r="H45" s="37">
        <v>42496</v>
      </c>
      <c r="I45" s="38">
        <v>42485</v>
      </c>
      <c r="J45" s="38">
        <v>42496</v>
      </c>
      <c r="K45" s="39"/>
      <c r="L45" s="40"/>
      <c r="M45" s="38">
        <v>42496</v>
      </c>
      <c r="N45" s="36" t="s">
        <v>66</v>
      </c>
    </row>
    <row r="46" spans="1:14" s="24" customFormat="1">
      <c r="A46" s="33">
        <v>103</v>
      </c>
      <c r="B46" s="20" t="s">
        <v>43</v>
      </c>
      <c r="C46" s="20"/>
      <c r="D46" s="20"/>
      <c r="E46" s="34"/>
      <c r="F46" s="35">
        <f>A39</f>
        <v>101</v>
      </c>
      <c r="G46" s="36"/>
      <c r="H46" s="37">
        <v>42496</v>
      </c>
      <c r="I46" s="38">
        <v>42496</v>
      </c>
      <c r="J46" s="38">
        <v>42496</v>
      </c>
      <c r="K46" s="39"/>
      <c r="L46" s="40"/>
      <c r="M46" s="38">
        <v>42496</v>
      </c>
      <c r="N46" s="36" t="s">
        <v>66</v>
      </c>
    </row>
    <row r="47" spans="1:14" s="24" customFormat="1">
      <c r="A47" s="33">
        <v>104</v>
      </c>
      <c r="B47" s="20" t="s">
        <v>43</v>
      </c>
      <c r="C47" s="20"/>
      <c r="D47" s="20"/>
      <c r="E47" s="34"/>
      <c r="F47" s="35">
        <f>A14</f>
        <v>71</v>
      </c>
      <c r="G47" s="36"/>
      <c r="H47" s="37">
        <v>42496</v>
      </c>
      <c r="I47" s="38">
        <v>42496</v>
      </c>
      <c r="J47" s="38">
        <v>42496</v>
      </c>
      <c r="K47" s="39"/>
      <c r="L47" s="40"/>
      <c r="M47" s="38">
        <v>42496</v>
      </c>
      <c r="N47" s="36" t="s">
        <v>66</v>
      </c>
    </row>
    <row r="48" spans="1:14" s="24" customFormat="1">
      <c r="A48" s="33">
        <v>105</v>
      </c>
      <c r="B48" s="20" t="s">
        <v>43</v>
      </c>
      <c r="C48" s="20"/>
      <c r="D48" s="20"/>
      <c r="E48" s="34"/>
      <c r="F48" s="35">
        <f>A15</f>
        <v>72</v>
      </c>
      <c r="G48" s="36"/>
      <c r="H48" s="37">
        <v>42496</v>
      </c>
      <c r="I48" s="38">
        <v>42496</v>
      </c>
      <c r="J48" s="38">
        <v>42496</v>
      </c>
      <c r="K48" s="39"/>
      <c r="L48" s="40"/>
      <c r="M48" s="38">
        <v>42496</v>
      </c>
      <c r="N48" s="36" t="s">
        <v>66</v>
      </c>
    </row>
    <row r="49" spans="1:14" s="24" customFormat="1">
      <c r="A49" s="33">
        <v>106</v>
      </c>
      <c r="B49" s="20" t="s">
        <v>43</v>
      </c>
      <c r="C49" s="20"/>
      <c r="D49" s="20"/>
      <c r="E49" s="34"/>
      <c r="F49" s="35">
        <f>A15</f>
        <v>72</v>
      </c>
      <c r="G49" s="36"/>
      <c r="H49" s="37"/>
      <c r="I49" s="38">
        <v>42464</v>
      </c>
      <c r="J49" s="52">
        <v>42475</v>
      </c>
      <c r="K49" s="39"/>
      <c r="L49" s="40"/>
      <c r="M49" s="52">
        <v>42475</v>
      </c>
      <c r="N49" s="36" t="s">
        <v>66</v>
      </c>
    </row>
    <row r="50" spans="1:14" s="24" customFormat="1">
      <c r="A50" s="33">
        <v>107</v>
      </c>
      <c r="B50" s="20" t="s">
        <v>43</v>
      </c>
      <c r="C50" s="20"/>
      <c r="D50" s="20"/>
      <c r="E50" s="34"/>
      <c r="F50" s="35">
        <f>A41</f>
        <v>87</v>
      </c>
      <c r="G50" s="36" t="s">
        <v>16</v>
      </c>
      <c r="H50" s="51" t="s">
        <v>67</v>
      </c>
      <c r="I50" s="52">
        <v>42489</v>
      </c>
      <c r="J50" s="38">
        <v>42496</v>
      </c>
      <c r="K50" s="39"/>
      <c r="L50" s="40"/>
      <c r="M50" s="38">
        <v>42496</v>
      </c>
      <c r="N50" s="36" t="s">
        <v>66</v>
      </c>
    </row>
    <row r="51" spans="1:14" s="24" customFormat="1">
      <c r="A51" s="33">
        <v>108</v>
      </c>
      <c r="B51" s="20" t="s">
        <v>43</v>
      </c>
      <c r="C51" s="20"/>
      <c r="D51" s="20"/>
      <c r="E51" s="34"/>
      <c r="F51" s="35">
        <f>$A$110</f>
        <v>62</v>
      </c>
      <c r="G51" s="36" t="s">
        <v>16</v>
      </c>
      <c r="H51" s="51" t="s">
        <v>67</v>
      </c>
      <c r="I51" s="38">
        <v>42492</v>
      </c>
      <c r="J51" s="38">
        <v>42494</v>
      </c>
      <c r="K51" s="39"/>
      <c r="L51" s="40"/>
      <c r="M51" s="38">
        <v>42494</v>
      </c>
      <c r="N51" s="36" t="s">
        <v>66</v>
      </c>
    </row>
    <row r="52" spans="1:14" s="24" customFormat="1">
      <c r="A52" s="33">
        <v>109</v>
      </c>
      <c r="B52" s="20" t="s">
        <v>43</v>
      </c>
      <c r="C52" s="20"/>
      <c r="D52" s="20"/>
      <c r="E52" s="53"/>
      <c r="F52" s="35">
        <f>$A$110</f>
        <v>62</v>
      </c>
      <c r="G52" s="36" t="s">
        <v>16</v>
      </c>
      <c r="H52" s="51" t="s">
        <v>67</v>
      </c>
      <c r="I52" s="38">
        <v>42499</v>
      </c>
      <c r="J52" s="38">
        <v>42503</v>
      </c>
      <c r="K52" s="39"/>
      <c r="L52" s="40"/>
      <c r="M52" s="38">
        <v>42503</v>
      </c>
      <c r="N52" s="36" t="s">
        <v>66</v>
      </c>
    </row>
    <row r="53" spans="1:14" s="24" customFormat="1">
      <c r="A53" s="33">
        <v>110</v>
      </c>
      <c r="B53" s="20" t="s">
        <v>43</v>
      </c>
      <c r="C53" s="20"/>
      <c r="D53" s="20"/>
      <c r="E53" s="34"/>
      <c r="F53" s="35">
        <f>$A$110</f>
        <v>62</v>
      </c>
      <c r="G53" s="36"/>
      <c r="H53" s="51" t="s">
        <v>67</v>
      </c>
      <c r="I53" s="38">
        <v>42499</v>
      </c>
      <c r="J53" s="38">
        <v>42503</v>
      </c>
      <c r="K53" s="39"/>
      <c r="L53" s="40"/>
      <c r="M53" s="38">
        <v>42503</v>
      </c>
      <c r="N53" s="36" t="s">
        <v>66</v>
      </c>
    </row>
    <row r="54" spans="1:14" s="24" customFormat="1">
      <c r="A54" s="33">
        <v>111</v>
      </c>
      <c r="B54" s="20" t="s">
        <v>43</v>
      </c>
      <c r="C54" s="20"/>
      <c r="D54" s="20"/>
      <c r="E54" s="34"/>
      <c r="F54" s="35">
        <f>$A$110</f>
        <v>62</v>
      </c>
      <c r="G54" s="36" t="s">
        <v>16</v>
      </c>
      <c r="H54" s="51" t="s">
        <v>67</v>
      </c>
      <c r="I54" s="38">
        <v>42499</v>
      </c>
      <c r="J54" s="38">
        <v>42503</v>
      </c>
      <c r="K54" s="39"/>
      <c r="L54" s="40"/>
      <c r="M54" s="38">
        <v>42503</v>
      </c>
      <c r="N54" s="36" t="s">
        <v>66</v>
      </c>
    </row>
    <row r="55" spans="1:14" s="24" customFormat="1">
      <c r="A55" s="33">
        <v>112</v>
      </c>
      <c r="B55" s="20" t="s">
        <v>43</v>
      </c>
      <c r="C55" s="20"/>
      <c r="D55" s="20"/>
      <c r="E55" s="34"/>
      <c r="F55" s="35">
        <f>A54</f>
        <v>111</v>
      </c>
      <c r="G55" s="36"/>
      <c r="H55" s="51" t="s">
        <v>67</v>
      </c>
      <c r="I55" s="38">
        <v>42506</v>
      </c>
      <c r="J55" s="38">
        <v>42510</v>
      </c>
      <c r="K55" s="39"/>
      <c r="L55" s="40"/>
      <c r="M55" s="38">
        <v>42510</v>
      </c>
      <c r="N55" s="36" t="s">
        <v>66</v>
      </c>
    </row>
    <row r="56" spans="1:14" s="24" customFormat="1">
      <c r="A56" s="33">
        <v>113</v>
      </c>
      <c r="B56" s="20" t="s">
        <v>43</v>
      </c>
      <c r="C56" s="20"/>
      <c r="D56" s="20"/>
      <c r="E56" s="34"/>
      <c r="F56" s="35">
        <f>A54</f>
        <v>111</v>
      </c>
      <c r="G56" s="36" t="s">
        <v>16</v>
      </c>
      <c r="H56" s="51" t="s">
        <v>67</v>
      </c>
      <c r="I56" s="38">
        <v>42506</v>
      </c>
      <c r="J56" s="38">
        <v>42507</v>
      </c>
      <c r="K56" s="39"/>
      <c r="L56" s="40"/>
      <c r="M56" s="38">
        <v>42507</v>
      </c>
      <c r="N56" s="36" t="s">
        <v>66</v>
      </c>
    </row>
    <row r="57" spans="1:14" s="24" customFormat="1">
      <c r="A57" s="33">
        <v>123</v>
      </c>
      <c r="B57" s="20" t="s">
        <v>43</v>
      </c>
      <c r="C57" s="20"/>
      <c r="D57" s="20"/>
      <c r="E57" s="34"/>
      <c r="F57" s="35">
        <f>A42</f>
        <v>88</v>
      </c>
      <c r="G57" s="36"/>
      <c r="H57" s="37"/>
      <c r="I57" s="38">
        <v>42514</v>
      </c>
      <c r="J57" s="38">
        <v>42517</v>
      </c>
      <c r="K57" s="39"/>
      <c r="L57" s="40"/>
      <c r="M57" s="38">
        <v>42517</v>
      </c>
      <c r="N57" s="36" t="s">
        <v>66</v>
      </c>
    </row>
    <row r="58" spans="1:14" s="24" customFormat="1">
      <c r="A58" s="33">
        <v>124</v>
      </c>
      <c r="B58" s="20" t="s">
        <v>44</v>
      </c>
      <c r="C58" s="20"/>
      <c r="D58" s="20"/>
      <c r="E58" s="34"/>
      <c r="F58" s="35">
        <f>A18</f>
        <v>75</v>
      </c>
      <c r="G58" s="36" t="s">
        <v>16</v>
      </c>
      <c r="H58" s="51" t="s">
        <v>67</v>
      </c>
      <c r="I58" s="52">
        <v>42514</v>
      </c>
      <c r="J58" s="52">
        <v>42523</v>
      </c>
      <c r="K58" s="39"/>
      <c r="L58" s="40"/>
      <c r="M58" s="52">
        <v>42523</v>
      </c>
      <c r="N58" s="36" t="s">
        <v>66</v>
      </c>
    </row>
    <row r="59" spans="1:14" s="24" customFormat="1">
      <c r="A59" s="33">
        <v>125</v>
      </c>
      <c r="B59" s="20" t="s">
        <v>44</v>
      </c>
      <c r="C59" s="20"/>
      <c r="D59" s="20"/>
      <c r="E59" s="34"/>
      <c r="F59" s="35">
        <f t="shared" ref="F59:F66" si="2">$A$116</f>
        <v>68</v>
      </c>
      <c r="G59" s="36" t="s">
        <v>16</v>
      </c>
      <c r="H59" s="51" t="s">
        <v>67</v>
      </c>
      <c r="I59" s="52">
        <v>42514</v>
      </c>
      <c r="J59" s="52">
        <v>42523</v>
      </c>
      <c r="K59" s="39"/>
      <c r="L59" s="40"/>
      <c r="M59" s="52">
        <v>42523</v>
      </c>
      <c r="N59" s="36" t="s">
        <v>66</v>
      </c>
    </row>
    <row r="60" spans="1:14" s="24" customFormat="1">
      <c r="A60" s="33">
        <v>126</v>
      </c>
      <c r="B60" s="20" t="s">
        <v>44</v>
      </c>
      <c r="C60" s="20"/>
      <c r="D60" s="20"/>
      <c r="E60" s="34"/>
      <c r="F60" s="35">
        <f t="shared" si="2"/>
        <v>68</v>
      </c>
      <c r="G60" s="36" t="s">
        <v>16</v>
      </c>
      <c r="H60" s="51" t="s">
        <v>67</v>
      </c>
      <c r="I60" s="52">
        <v>42514</v>
      </c>
      <c r="J60" s="52">
        <v>42523</v>
      </c>
      <c r="K60" s="39"/>
      <c r="L60" s="40"/>
      <c r="M60" s="52">
        <v>42523</v>
      </c>
      <c r="N60" s="36" t="s">
        <v>66</v>
      </c>
    </row>
    <row r="61" spans="1:14" s="24" customFormat="1">
      <c r="A61" s="33">
        <v>127</v>
      </c>
      <c r="B61" s="20" t="s">
        <v>44</v>
      </c>
      <c r="C61" s="20"/>
      <c r="D61" s="20"/>
      <c r="E61" s="34"/>
      <c r="F61" s="35">
        <f t="shared" si="2"/>
        <v>68</v>
      </c>
      <c r="G61" s="36" t="s">
        <v>16</v>
      </c>
      <c r="H61" s="51" t="s">
        <v>67</v>
      </c>
      <c r="I61" s="52">
        <v>42514</v>
      </c>
      <c r="J61" s="52">
        <v>42523</v>
      </c>
      <c r="K61" s="39"/>
      <c r="L61" s="40"/>
      <c r="M61" s="52">
        <v>42523</v>
      </c>
      <c r="N61" s="36" t="s">
        <v>66</v>
      </c>
    </row>
    <row r="62" spans="1:14" s="24" customFormat="1">
      <c r="A62" s="33">
        <v>128</v>
      </c>
      <c r="B62" s="20" t="s">
        <v>44</v>
      </c>
      <c r="C62" s="20"/>
      <c r="D62" s="20"/>
      <c r="E62" s="34"/>
      <c r="F62" s="35">
        <f t="shared" si="2"/>
        <v>68</v>
      </c>
      <c r="G62" s="36" t="s">
        <v>16</v>
      </c>
      <c r="H62" s="51" t="s">
        <v>67</v>
      </c>
      <c r="I62" s="52">
        <v>42514</v>
      </c>
      <c r="J62" s="52">
        <v>42523</v>
      </c>
      <c r="K62" s="39"/>
      <c r="L62" s="40"/>
      <c r="M62" s="52">
        <v>42523</v>
      </c>
      <c r="N62" s="36" t="s">
        <v>66</v>
      </c>
    </row>
    <row r="63" spans="1:14" s="24" customFormat="1">
      <c r="A63" s="33">
        <v>129</v>
      </c>
      <c r="B63" s="20" t="s">
        <v>44</v>
      </c>
      <c r="C63" s="20"/>
      <c r="D63" s="20"/>
      <c r="E63" s="34"/>
      <c r="F63" s="35">
        <f t="shared" si="2"/>
        <v>68</v>
      </c>
      <c r="G63" s="36" t="s">
        <v>16</v>
      </c>
      <c r="H63" s="51" t="s">
        <v>67</v>
      </c>
      <c r="I63" s="52">
        <v>42514</v>
      </c>
      <c r="J63" s="52">
        <v>42523</v>
      </c>
      <c r="K63" s="39"/>
      <c r="L63" s="40"/>
      <c r="M63" s="52">
        <v>42523</v>
      </c>
      <c r="N63" s="36" t="s">
        <v>66</v>
      </c>
    </row>
    <row r="64" spans="1:14" s="24" customFormat="1">
      <c r="A64" s="33">
        <v>130</v>
      </c>
      <c r="B64" s="20" t="s">
        <v>44</v>
      </c>
      <c r="C64" s="20"/>
      <c r="D64" s="20"/>
      <c r="E64" s="34"/>
      <c r="F64" s="35">
        <f t="shared" si="2"/>
        <v>68</v>
      </c>
      <c r="G64" s="36" t="s">
        <v>16</v>
      </c>
      <c r="H64" s="51" t="s">
        <v>67</v>
      </c>
      <c r="I64" s="52">
        <v>42514</v>
      </c>
      <c r="J64" s="52">
        <v>42523</v>
      </c>
      <c r="K64" s="39"/>
      <c r="L64" s="40"/>
      <c r="M64" s="52">
        <v>42523</v>
      </c>
      <c r="N64" s="36" t="s">
        <v>66</v>
      </c>
    </row>
    <row r="65" spans="1:14" s="24" customFormat="1">
      <c r="A65" s="33">
        <v>131</v>
      </c>
      <c r="B65" s="20" t="s">
        <v>44</v>
      </c>
      <c r="C65" s="20"/>
      <c r="D65" s="20"/>
      <c r="E65" s="34"/>
      <c r="F65" s="35">
        <f t="shared" si="2"/>
        <v>68</v>
      </c>
      <c r="G65" s="36" t="s">
        <v>16</v>
      </c>
      <c r="H65" s="51" t="s">
        <v>67</v>
      </c>
      <c r="I65" s="52">
        <v>42523</v>
      </c>
      <c r="J65" s="52">
        <v>42524</v>
      </c>
      <c r="K65" s="39"/>
      <c r="L65" s="40"/>
      <c r="M65" s="52">
        <v>42524</v>
      </c>
      <c r="N65" s="36" t="s">
        <v>66</v>
      </c>
    </row>
    <row r="66" spans="1:14" s="24" customFormat="1">
      <c r="A66" s="33">
        <v>132</v>
      </c>
      <c r="B66" s="20" t="s">
        <v>44</v>
      </c>
      <c r="C66" s="20"/>
      <c r="D66" s="20"/>
      <c r="E66" s="34"/>
      <c r="F66" s="35">
        <f t="shared" si="2"/>
        <v>68</v>
      </c>
      <c r="G66" s="36"/>
      <c r="H66" s="51" t="s">
        <v>67</v>
      </c>
      <c r="I66" s="52">
        <v>42529</v>
      </c>
      <c r="J66" s="52">
        <v>42538</v>
      </c>
      <c r="K66" s="39"/>
      <c r="L66" s="40"/>
      <c r="M66" s="52">
        <v>42538</v>
      </c>
      <c r="N66" s="36" t="s">
        <v>66</v>
      </c>
    </row>
    <row r="67" spans="1:14" s="24" customFormat="1">
      <c r="A67" s="33">
        <v>133</v>
      </c>
      <c r="B67" s="20" t="s">
        <v>44</v>
      </c>
      <c r="C67" s="20"/>
      <c r="D67" s="20"/>
      <c r="E67" s="34"/>
      <c r="F67" s="35">
        <f>A54</f>
        <v>111</v>
      </c>
      <c r="G67" s="36"/>
      <c r="H67" s="51" t="s">
        <v>67</v>
      </c>
      <c r="I67" s="38">
        <v>42499</v>
      </c>
      <c r="J67" s="38">
        <v>42510</v>
      </c>
      <c r="K67" s="39"/>
      <c r="L67" s="40"/>
      <c r="M67" s="38">
        <v>42510</v>
      </c>
      <c r="N67" s="36" t="s">
        <v>66</v>
      </c>
    </row>
    <row r="68" spans="1:14" s="24" customFormat="1">
      <c r="A68" s="33">
        <v>134</v>
      </c>
      <c r="B68" s="20" t="s">
        <v>44</v>
      </c>
      <c r="C68" s="20"/>
      <c r="D68" s="20"/>
      <c r="E68" s="34"/>
      <c r="F68" s="35">
        <f>A55</f>
        <v>112</v>
      </c>
      <c r="G68" s="36"/>
      <c r="H68" s="51" t="s">
        <v>67</v>
      </c>
      <c r="I68" s="38">
        <v>42499</v>
      </c>
      <c r="J68" s="52">
        <v>42524</v>
      </c>
      <c r="K68" s="39"/>
      <c r="L68" s="40"/>
      <c r="M68" s="52">
        <v>42524</v>
      </c>
      <c r="N68" s="36" t="s">
        <v>66</v>
      </c>
    </row>
    <row r="69" spans="1:14" s="24" customFormat="1">
      <c r="A69" s="33">
        <v>135</v>
      </c>
      <c r="B69" s="20" t="s">
        <v>44</v>
      </c>
      <c r="C69" s="20"/>
      <c r="D69" s="20"/>
      <c r="E69" s="34"/>
      <c r="F69" s="35">
        <f>A56</f>
        <v>113</v>
      </c>
      <c r="G69" s="36"/>
      <c r="H69" s="51" t="s">
        <v>67</v>
      </c>
      <c r="I69" s="38">
        <v>42499</v>
      </c>
      <c r="J69" s="52">
        <v>42524</v>
      </c>
      <c r="K69" s="39"/>
      <c r="L69" s="40"/>
      <c r="M69" s="52">
        <v>42524</v>
      </c>
      <c r="N69" s="36" t="s">
        <v>66</v>
      </c>
    </row>
    <row r="70" spans="1:14" s="24" customFormat="1">
      <c r="A70" s="33">
        <v>145</v>
      </c>
      <c r="B70" s="20" t="s">
        <v>45</v>
      </c>
      <c r="C70" s="20"/>
      <c r="D70" s="20"/>
      <c r="E70" s="34"/>
      <c r="F70" s="35">
        <f>A50</f>
        <v>107</v>
      </c>
      <c r="G70" s="36" t="s">
        <v>16</v>
      </c>
      <c r="H70" s="37"/>
      <c r="I70" s="38">
        <v>42527</v>
      </c>
      <c r="J70" s="38">
        <v>42531</v>
      </c>
      <c r="K70" s="39"/>
      <c r="L70" s="40" t="s">
        <v>68</v>
      </c>
      <c r="M70" s="38">
        <v>42531</v>
      </c>
      <c r="N70" s="36" t="s">
        <v>66</v>
      </c>
    </row>
    <row r="71" spans="1:14" s="24" customFormat="1">
      <c r="A71" s="33">
        <v>146</v>
      </c>
      <c r="B71" s="20" t="s">
        <v>45</v>
      </c>
      <c r="C71" s="20"/>
      <c r="D71" s="20"/>
      <c r="E71" s="34"/>
      <c r="F71" s="35">
        <f>A51</f>
        <v>108</v>
      </c>
      <c r="G71" s="36" t="s">
        <v>16</v>
      </c>
      <c r="H71" s="37"/>
      <c r="I71" s="38">
        <v>42527</v>
      </c>
      <c r="J71" s="38">
        <v>42531</v>
      </c>
      <c r="K71" s="39"/>
      <c r="L71" s="40" t="s">
        <v>68</v>
      </c>
      <c r="M71" s="38">
        <v>42531</v>
      </c>
      <c r="N71" s="36" t="s">
        <v>66</v>
      </c>
    </row>
    <row r="72" spans="1:14" s="24" customFormat="1">
      <c r="A72" s="33">
        <v>147</v>
      </c>
      <c r="B72" s="20" t="s">
        <v>45</v>
      </c>
      <c r="C72" s="20"/>
      <c r="D72" s="20"/>
      <c r="E72" s="34"/>
      <c r="F72" s="35">
        <f>A52</f>
        <v>109</v>
      </c>
      <c r="G72" s="36" t="s">
        <v>16</v>
      </c>
      <c r="H72" s="37"/>
      <c r="I72" s="38">
        <v>42527</v>
      </c>
      <c r="J72" s="38">
        <v>42531</v>
      </c>
      <c r="K72" s="39"/>
      <c r="L72" s="40" t="s">
        <v>68</v>
      </c>
      <c r="M72" s="38">
        <v>42531</v>
      </c>
      <c r="N72" s="36" t="s">
        <v>66</v>
      </c>
    </row>
    <row r="73" spans="1:14" s="24" customFormat="1">
      <c r="A73" s="33">
        <v>148</v>
      </c>
      <c r="B73" s="20" t="s">
        <v>45</v>
      </c>
      <c r="C73" s="20"/>
      <c r="D73" s="20"/>
      <c r="E73" s="34"/>
      <c r="F73" s="35">
        <f>A53</f>
        <v>110</v>
      </c>
      <c r="G73" s="36" t="s">
        <v>16</v>
      </c>
      <c r="H73" s="37"/>
      <c r="I73" s="38">
        <v>42527</v>
      </c>
      <c r="J73" s="38">
        <v>42531</v>
      </c>
      <c r="K73" s="39"/>
      <c r="L73" s="40" t="s">
        <v>68</v>
      </c>
      <c r="M73" s="38">
        <v>42531</v>
      </c>
      <c r="N73" s="36" t="s">
        <v>66</v>
      </c>
    </row>
    <row r="74" spans="1:14" s="24" customFormat="1">
      <c r="A74" s="33">
        <v>149</v>
      </c>
      <c r="B74" s="20" t="s">
        <v>45</v>
      </c>
      <c r="C74" s="20"/>
      <c r="D74" s="20"/>
      <c r="E74" s="34"/>
      <c r="F74" s="35">
        <f>A54</f>
        <v>111</v>
      </c>
      <c r="G74" s="36" t="s">
        <v>16</v>
      </c>
      <c r="H74" s="37"/>
      <c r="I74" s="38">
        <v>42527</v>
      </c>
      <c r="J74" s="38">
        <v>42531</v>
      </c>
      <c r="K74" s="39"/>
      <c r="L74" s="40" t="s">
        <v>68</v>
      </c>
      <c r="M74" s="38">
        <v>42531</v>
      </c>
      <c r="N74" s="36" t="s">
        <v>66</v>
      </c>
    </row>
    <row r="75" spans="1:14" s="24" customFormat="1">
      <c r="A75" s="33">
        <v>190</v>
      </c>
      <c r="B75" s="20" t="s">
        <v>45</v>
      </c>
      <c r="C75" s="20"/>
      <c r="D75" s="20"/>
      <c r="E75" s="34"/>
      <c r="F75" s="35"/>
      <c r="G75" s="36" t="s">
        <v>17</v>
      </c>
      <c r="H75" s="51"/>
      <c r="I75" s="52"/>
      <c r="J75" s="52"/>
      <c r="K75" s="39"/>
      <c r="L75" s="40"/>
      <c r="M75" s="52"/>
      <c r="N75" s="36"/>
    </row>
    <row r="76" spans="1:14" s="24" customFormat="1">
      <c r="A76" s="33">
        <v>191</v>
      </c>
      <c r="B76" s="20" t="s">
        <v>45</v>
      </c>
      <c r="C76" s="20"/>
      <c r="D76" s="20"/>
      <c r="E76" s="34"/>
      <c r="F76" s="35"/>
      <c r="G76" s="36" t="s">
        <v>17</v>
      </c>
      <c r="H76" s="51"/>
      <c r="I76" s="52"/>
      <c r="J76" s="52"/>
      <c r="K76" s="39"/>
      <c r="L76" s="40"/>
      <c r="M76" s="52"/>
      <c r="N76" s="36"/>
    </row>
    <row r="77" spans="1:14" s="24" customFormat="1">
      <c r="A77" s="33">
        <v>192</v>
      </c>
      <c r="B77" s="20" t="s">
        <v>45</v>
      </c>
      <c r="C77" s="20"/>
      <c r="D77" s="20"/>
      <c r="E77" s="34"/>
      <c r="F77" s="35"/>
      <c r="G77" s="36" t="s">
        <v>17</v>
      </c>
      <c r="H77" s="51"/>
      <c r="I77" s="52"/>
      <c r="J77" s="52"/>
      <c r="K77" s="39"/>
      <c r="L77" s="40"/>
      <c r="M77" s="52"/>
      <c r="N77" s="36"/>
    </row>
    <row r="78" spans="1:14" s="24" customFormat="1">
      <c r="A78" s="33">
        <v>193</v>
      </c>
      <c r="B78" s="20" t="s">
        <v>45</v>
      </c>
      <c r="C78" s="20"/>
      <c r="D78" s="20"/>
      <c r="E78" s="34"/>
      <c r="F78" s="35"/>
      <c r="G78" s="36" t="s">
        <v>17</v>
      </c>
      <c r="H78" s="51"/>
      <c r="I78" s="52"/>
      <c r="J78" s="52"/>
      <c r="K78" s="39"/>
      <c r="L78" s="40"/>
      <c r="M78" s="52"/>
      <c r="N78" s="36"/>
    </row>
    <row r="79" spans="1:14" s="24" customFormat="1">
      <c r="A79" s="33">
        <v>194</v>
      </c>
      <c r="B79" s="20" t="s">
        <v>45</v>
      </c>
      <c r="C79" s="20"/>
      <c r="D79" s="20"/>
      <c r="E79" s="34"/>
      <c r="F79" s="35"/>
      <c r="G79" s="36" t="s">
        <v>17</v>
      </c>
      <c r="H79" s="51"/>
      <c r="I79" s="52"/>
      <c r="J79" s="52"/>
      <c r="K79" s="39"/>
      <c r="L79" s="40"/>
      <c r="M79" s="52"/>
      <c r="N79" s="36"/>
    </row>
    <row r="80" spans="1:14" s="24" customFormat="1">
      <c r="A80" s="33">
        <v>195</v>
      </c>
      <c r="B80" s="20" t="s">
        <v>45</v>
      </c>
      <c r="C80" s="20"/>
      <c r="D80" s="20"/>
      <c r="E80" s="34"/>
      <c r="F80" s="35"/>
      <c r="G80" s="36" t="s">
        <v>17</v>
      </c>
      <c r="H80" s="37"/>
      <c r="I80" s="38"/>
      <c r="J80" s="38"/>
      <c r="K80" s="39"/>
      <c r="L80" s="40"/>
      <c r="M80" s="38"/>
      <c r="N80" s="36" t="s">
        <v>66</v>
      </c>
    </row>
    <row r="81" spans="1:14" s="24" customFormat="1">
      <c r="A81" s="33">
        <v>150</v>
      </c>
      <c r="B81" s="20" t="s">
        <v>46</v>
      </c>
      <c r="C81" s="20"/>
      <c r="D81" s="20"/>
      <c r="E81" s="34"/>
      <c r="F81" s="35">
        <f>A56</f>
        <v>113</v>
      </c>
      <c r="G81" s="36"/>
      <c r="H81" s="51" t="s">
        <v>67</v>
      </c>
      <c r="I81" s="52">
        <v>42514</v>
      </c>
      <c r="J81" s="52">
        <v>42524</v>
      </c>
      <c r="K81" s="39"/>
      <c r="L81" s="40"/>
      <c r="M81" s="52">
        <v>42524</v>
      </c>
      <c r="N81" s="36" t="s">
        <v>66</v>
      </c>
    </row>
    <row r="82" spans="1:14" s="24" customFormat="1">
      <c r="A82" s="33">
        <v>151</v>
      </c>
      <c r="B82" s="20" t="s">
        <v>46</v>
      </c>
      <c r="C82" s="20"/>
      <c r="D82" s="20"/>
      <c r="E82" s="34"/>
      <c r="F82" s="35">
        <f>A57</f>
        <v>123</v>
      </c>
      <c r="G82" s="36"/>
      <c r="H82" s="51" t="s">
        <v>67</v>
      </c>
      <c r="I82" s="52">
        <v>42514</v>
      </c>
      <c r="J82" s="52">
        <v>42524</v>
      </c>
      <c r="K82" s="39"/>
      <c r="L82" s="40"/>
      <c r="M82" s="52">
        <v>42524</v>
      </c>
      <c r="N82" s="36" t="s">
        <v>66</v>
      </c>
    </row>
    <row r="83" spans="1:14" s="24" customFormat="1">
      <c r="A83" s="33">
        <v>152</v>
      </c>
      <c r="B83" s="20" t="s">
        <v>46</v>
      </c>
      <c r="C83" s="20"/>
      <c r="D83" s="20"/>
      <c r="E83" s="34"/>
      <c r="F83" s="35">
        <f>A58</f>
        <v>124</v>
      </c>
      <c r="G83" s="36"/>
      <c r="H83" s="51" t="s">
        <v>67</v>
      </c>
      <c r="I83" s="52">
        <v>42514</v>
      </c>
      <c r="J83" s="52">
        <v>42524</v>
      </c>
      <c r="K83" s="39"/>
      <c r="L83" s="40"/>
      <c r="M83" s="52">
        <v>42524</v>
      </c>
      <c r="N83" s="36" t="s">
        <v>66</v>
      </c>
    </row>
    <row r="84" spans="1:14" s="24" customFormat="1">
      <c r="A84" s="33">
        <v>153</v>
      </c>
      <c r="B84" s="20" t="s">
        <v>46</v>
      </c>
      <c r="C84" s="20"/>
      <c r="D84" s="20"/>
      <c r="E84" s="34"/>
      <c r="F84" s="35">
        <f>A59</f>
        <v>125</v>
      </c>
      <c r="G84" s="36"/>
      <c r="H84" s="51" t="s">
        <v>67</v>
      </c>
      <c r="I84" s="52">
        <v>42514</v>
      </c>
      <c r="J84" s="52">
        <v>42524</v>
      </c>
      <c r="K84" s="39"/>
      <c r="L84" s="40"/>
      <c r="M84" s="52">
        <v>42524</v>
      </c>
      <c r="N84" s="36" t="s">
        <v>66</v>
      </c>
    </row>
    <row r="85" spans="1:14" s="24" customFormat="1">
      <c r="A85" s="33">
        <v>154</v>
      </c>
      <c r="B85" s="20" t="s">
        <v>46</v>
      </c>
      <c r="C85" s="20"/>
      <c r="D85" s="20"/>
      <c r="E85" s="34"/>
      <c r="F85" s="35">
        <f>A60</f>
        <v>126</v>
      </c>
      <c r="G85" s="36"/>
      <c r="H85" s="51" t="s">
        <v>67</v>
      </c>
      <c r="I85" s="52">
        <v>42514</v>
      </c>
      <c r="J85" s="52">
        <v>42524</v>
      </c>
      <c r="K85" s="39"/>
      <c r="L85" s="40"/>
      <c r="M85" s="52">
        <v>42524</v>
      </c>
      <c r="N85" s="36" t="s">
        <v>66</v>
      </c>
    </row>
    <row r="86" spans="1:14" s="24" customFormat="1">
      <c r="A86" s="33">
        <v>161</v>
      </c>
      <c r="B86" s="20" t="s">
        <v>46</v>
      </c>
      <c r="C86" s="20"/>
      <c r="D86" s="20"/>
      <c r="E86" s="34"/>
      <c r="F86" s="35">
        <f>84</f>
        <v>84</v>
      </c>
      <c r="G86" s="36"/>
      <c r="H86" s="51" t="s">
        <v>67</v>
      </c>
      <c r="I86" s="52">
        <v>42489</v>
      </c>
      <c r="J86" s="52">
        <v>42510</v>
      </c>
      <c r="K86" s="39"/>
      <c r="L86" s="40"/>
      <c r="M86" s="52">
        <v>42510</v>
      </c>
      <c r="N86" s="36" t="s">
        <v>66</v>
      </c>
    </row>
    <row r="87" spans="1:14" s="24" customFormat="1">
      <c r="A87" s="33">
        <v>162</v>
      </c>
      <c r="B87" s="20" t="s">
        <v>46</v>
      </c>
      <c r="C87" s="20"/>
      <c r="D87" s="20"/>
      <c r="E87" s="34"/>
      <c r="F87" s="35" t="e">
        <f>#REF!</f>
        <v>#REF!</v>
      </c>
      <c r="G87" s="36"/>
      <c r="H87" s="51" t="s">
        <v>67</v>
      </c>
      <c r="I87" s="52">
        <v>42482</v>
      </c>
      <c r="J87" s="52">
        <v>42510</v>
      </c>
      <c r="K87" s="39"/>
      <c r="L87" s="40"/>
      <c r="M87" s="52">
        <v>42510</v>
      </c>
      <c r="N87" s="36" t="s">
        <v>66</v>
      </c>
    </row>
    <row r="88" spans="1:14" s="24" customFormat="1">
      <c r="A88" s="33">
        <v>163</v>
      </c>
      <c r="B88" s="20" t="s">
        <v>46</v>
      </c>
      <c r="C88" s="20"/>
      <c r="D88" s="20"/>
      <c r="E88" s="34"/>
      <c r="F88" s="35">
        <f>A58</f>
        <v>124</v>
      </c>
      <c r="G88" s="36"/>
      <c r="H88" s="51" t="s">
        <v>67</v>
      </c>
      <c r="I88" s="52">
        <v>42482</v>
      </c>
      <c r="J88" s="52">
        <v>42510</v>
      </c>
      <c r="K88" s="39"/>
      <c r="L88" s="40"/>
      <c r="M88" s="52">
        <v>42510</v>
      </c>
      <c r="N88" s="36" t="s">
        <v>66</v>
      </c>
    </row>
    <row r="89" spans="1:14" s="24" customFormat="1">
      <c r="A89" s="33">
        <v>164</v>
      </c>
      <c r="B89" s="20" t="s">
        <v>46</v>
      </c>
      <c r="C89" s="20"/>
      <c r="D89" s="20"/>
      <c r="E89" s="34"/>
      <c r="F89" s="35"/>
      <c r="G89" s="36"/>
      <c r="H89" s="51" t="s">
        <v>67</v>
      </c>
      <c r="I89" s="52">
        <v>42454</v>
      </c>
      <c r="J89" s="52">
        <v>42510</v>
      </c>
      <c r="K89" s="39"/>
      <c r="L89" s="40"/>
      <c r="M89" s="52">
        <v>42510</v>
      </c>
      <c r="N89" s="36" t="s">
        <v>66</v>
      </c>
    </row>
    <row r="90" spans="1:14" s="24" customFormat="1">
      <c r="A90" s="33">
        <v>165</v>
      </c>
      <c r="B90" s="20" t="s">
        <v>46</v>
      </c>
      <c r="C90" s="20"/>
      <c r="D90" s="20"/>
      <c r="E90" s="34"/>
      <c r="F90" s="35">
        <f>A75</f>
        <v>190</v>
      </c>
      <c r="G90" s="36"/>
      <c r="H90" s="51" t="s">
        <v>67</v>
      </c>
      <c r="I90" s="52">
        <v>42527</v>
      </c>
      <c r="J90" s="52">
        <v>42538</v>
      </c>
      <c r="K90" s="39"/>
      <c r="L90" s="40"/>
      <c r="M90" s="52">
        <v>42538</v>
      </c>
      <c r="N90" s="36" t="s">
        <v>66</v>
      </c>
    </row>
    <row r="91" spans="1:14" s="24" customFormat="1">
      <c r="A91" s="33">
        <v>166</v>
      </c>
      <c r="B91" s="20" t="s">
        <v>46</v>
      </c>
      <c r="C91" s="20"/>
      <c r="D91" s="20"/>
      <c r="E91" s="34"/>
      <c r="F91" s="35">
        <f>A76</f>
        <v>191</v>
      </c>
      <c r="G91" s="36"/>
      <c r="H91" s="51" t="s">
        <v>67</v>
      </c>
      <c r="I91" s="52">
        <v>42527</v>
      </c>
      <c r="J91" s="52">
        <v>42538</v>
      </c>
      <c r="K91" s="39"/>
      <c r="L91" s="40"/>
      <c r="M91" s="52">
        <v>42538</v>
      </c>
      <c r="N91" s="36" t="s">
        <v>66</v>
      </c>
    </row>
    <row r="92" spans="1:14" s="24" customFormat="1">
      <c r="A92" s="33">
        <v>167</v>
      </c>
      <c r="B92" s="20" t="s">
        <v>46</v>
      </c>
      <c r="C92" s="20"/>
      <c r="D92" s="20"/>
      <c r="E92" s="34"/>
      <c r="F92" s="35">
        <f>A77</f>
        <v>192</v>
      </c>
      <c r="G92" s="36"/>
      <c r="H92" s="51" t="s">
        <v>67</v>
      </c>
      <c r="I92" s="52">
        <v>42527</v>
      </c>
      <c r="J92" s="52">
        <v>42538</v>
      </c>
      <c r="K92" s="39"/>
      <c r="L92" s="40"/>
      <c r="M92" s="52">
        <v>42538</v>
      </c>
      <c r="N92" s="36" t="s">
        <v>66</v>
      </c>
    </row>
    <row r="93" spans="1:14" s="24" customFormat="1">
      <c r="A93" s="33">
        <v>168</v>
      </c>
      <c r="B93" s="20" t="s">
        <v>46</v>
      </c>
      <c r="C93" s="20"/>
      <c r="D93" s="20"/>
      <c r="E93" s="34"/>
      <c r="F93" s="35">
        <f>A78</f>
        <v>193</v>
      </c>
      <c r="G93" s="36"/>
      <c r="H93" s="51" t="s">
        <v>67</v>
      </c>
      <c r="I93" s="52">
        <v>42527</v>
      </c>
      <c r="J93" s="52">
        <v>42538</v>
      </c>
      <c r="K93" s="39"/>
      <c r="L93" s="40"/>
      <c r="M93" s="52">
        <v>42538</v>
      </c>
      <c r="N93" s="36" t="s">
        <v>66</v>
      </c>
    </row>
    <row r="94" spans="1:14" s="24" customFormat="1">
      <c r="A94" s="33">
        <v>169</v>
      </c>
      <c r="B94" s="20" t="s">
        <v>46</v>
      </c>
      <c r="C94" s="20"/>
      <c r="D94" s="20"/>
      <c r="E94" s="34"/>
      <c r="F94" s="35">
        <f>A79</f>
        <v>194</v>
      </c>
      <c r="G94" s="36"/>
      <c r="H94" s="51" t="s">
        <v>67</v>
      </c>
      <c r="I94" s="52">
        <v>42527</v>
      </c>
      <c r="J94" s="52">
        <v>42538</v>
      </c>
      <c r="K94" s="39"/>
      <c r="L94" s="40"/>
      <c r="M94" s="52">
        <v>42538</v>
      </c>
      <c r="N94" s="36" t="s">
        <v>66</v>
      </c>
    </row>
    <row r="95" spans="1:14" s="24" customFormat="1">
      <c r="A95" s="33">
        <v>170</v>
      </c>
      <c r="B95" s="20" t="s">
        <v>46</v>
      </c>
      <c r="C95" s="20"/>
      <c r="D95" s="20"/>
      <c r="E95" s="34"/>
      <c r="F95" s="35">
        <f>A86</f>
        <v>161</v>
      </c>
      <c r="G95" s="36"/>
      <c r="H95" s="51" t="s">
        <v>67</v>
      </c>
      <c r="I95" s="52">
        <v>42514</v>
      </c>
      <c r="J95" s="52">
        <v>42524</v>
      </c>
      <c r="K95" s="39"/>
      <c r="L95" s="40"/>
      <c r="M95" s="52">
        <v>42524</v>
      </c>
      <c r="N95" s="36" t="s">
        <v>66</v>
      </c>
    </row>
    <row r="96" spans="1:14" s="24" customFormat="1">
      <c r="A96" s="33">
        <v>171</v>
      </c>
      <c r="B96" s="20" t="s">
        <v>46</v>
      </c>
      <c r="C96" s="20"/>
      <c r="D96" s="20"/>
      <c r="E96" s="34"/>
      <c r="F96" s="35">
        <f>A87</f>
        <v>162</v>
      </c>
      <c r="G96" s="36"/>
      <c r="H96" s="51" t="s">
        <v>67</v>
      </c>
      <c r="I96" s="52">
        <v>42514</v>
      </c>
      <c r="J96" s="52">
        <v>42524</v>
      </c>
      <c r="K96" s="39"/>
      <c r="L96" s="40"/>
      <c r="M96" s="52">
        <v>42524</v>
      </c>
      <c r="N96" s="36" t="s">
        <v>66</v>
      </c>
    </row>
    <row r="97" spans="1:14" s="24" customFormat="1">
      <c r="A97" s="33">
        <v>172</v>
      </c>
      <c r="B97" s="20" t="s">
        <v>46</v>
      </c>
      <c r="C97" s="20"/>
      <c r="D97" s="20"/>
      <c r="E97" s="34"/>
      <c r="F97" s="35">
        <f>A88</f>
        <v>163</v>
      </c>
      <c r="G97" s="36"/>
      <c r="H97" s="51" t="s">
        <v>67</v>
      </c>
      <c r="I97" s="52">
        <v>42514</v>
      </c>
      <c r="J97" s="52">
        <v>42524</v>
      </c>
      <c r="K97" s="39"/>
      <c r="L97" s="40"/>
      <c r="M97" s="52">
        <v>42524</v>
      </c>
      <c r="N97" s="36" t="s">
        <v>66</v>
      </c>
    </row>
    <row r="98" spans="1:14" s="24" customFormat="1">
      <c r="A98" s="33">
        <v>173</v>
      </c>
      <c r="B98" s="20" t="s">
        <v>46</v>
      </c>
      <c r="C98" s="20"/>
      <c r="D98" s="20"/>
      <c r="E98" s="34"/>
      <c r="F98" s="35">
        <f>A89</f>
        <v>164</v>
      </c>
      <c r="G98" s="36"/>
      <c r="H98" s="51" t="s">
        <v>67</v>
      </c>
      <c r="I98" s="52">
        <v>42514</v>
      </c>
      <c r="J98" s="52">
        <v>42524</v>
      </c>
      <c r="K98" s="39"/>
      <c r="L98" s="40"/>
      <c r="M98" s="52">
        <v>42524</v>
      </c>
      <c r="N98" s="36" t="s">
        <v>66</v>
      </c>
    </row>
    <row r="99" spans="1:14" s="24" customFormat="1">
      <c r="A99" s="33">
        <v>174</v>
      </c>
      <c r="B99" s="20" t="s">
        <v>46</v>
      </c>
      <c r="C99" s="20"/>
      <c r="D99" s="20"/>
      <c r="E99" s="34"/>
      <c r="F99" s="35">
        <f>A81</f>
        <v>150</v>
      </c>
      <c r="G99" s="36" t="s">
        <v>16</v>
      </c>
      <c r="H99" s="51" t="s">
        <v>67</v>
      </c>
      <c r="I99" s="52">
        <v>42514</v>
      </c>
      <c r="J99" s="52">
        <v>42545</v>
      </c>
      <c r="K99" s="39"/>
      <c r="L99" s="40"/>
      <c r="M99" s="52">
        <v>42545</v>
      </c>
      <c r="N99" s="36" t="s">
        <v>66</v>
      </c>
    </row>
    <row r="100" spans="1:14" s="24" customFormat="1">
      <c r="A100" s="33">
        <v>175</v>
      </c>
      <c r="B100" s="20" t="s">
        <v>46</v>
      </c>
      <c r="C100" s="20"/>
      <c r="D100" s="20"/>
      <c r="E100" s="34"/>
      <c r="F100" s="35">
        <f>A82</f>
        <v>151</v>
      </c>
      <c r="G100" s="36" t="s">
        <v>16</v>
      </c>
      <c r="H100" s="51" t="s">
        <v>67</v>
      </c>
      <c r="I100" s="52">
        <v>42514</v>
      </c>
      <c r="J100" s="52">
        <v>42545</v>
      </c>
      <c r="K100" s="39"/>
      <c r="L100" s="40"/>
      <c r="M100" s="52">
        <v>42545</v>
      </c>
      <c r="N100" s="36" t="s">
        <v>66</v>
      </c>
    </row>
    <row r="101" spans="1:14" s="24" customFormat="1">
      <c r="A101" s="33">
        <v>176</v>
      </c>
      <c r="B101" s="20" t="s">
        <v>46</v>
      </c>
      <c r="C101" s="20"/>
      <c r="D101" s="20"/>
      <c r="E101" s="34"/>
      <c r="F101" s="35">
        <f>A83</f>
        <v>152</v>
      </c>
      <c r="G101" s="36" t="s">
        <v>16</v>
      </c>
      <c r="H101" s="51" t="s">
        <v>67</v>
      </c>
      <c r="I101" s="52">
        <v>42514</v>
      </c>
      <c r="J101" s="52">
        <v>42545</v>
      </c>
      <c r="K101" s="39"/>
      <c r="L101" s="40"/>
      <c r="M101" s="52">
        <v>42545</v>
      </c>
      <c r="N101" s="36" t="s">
        <v>66</v>
      </c>
    </row>
    <row r="102" spans="1:14" s="24" customFormat="1">
      <c r="A102" s="33">
        <v>177</v>
      </c>
      <c r="B102" s="20" t="s">
        <v>46</v>
      </c>
      <c r="C102" s="20"/>
      <c r="D102" s="20"/>
      <c r="E102" s="34"/>
      <c r="F102" s="35">
        <f>A84</f>
        <v>153</v>
      </c>
      <c r="G102" s="36" t="s">
        <v>16</v>
      </c>
      <c r="H102" s="51" t="s">
        <v>67</v>
      </c>
      <c r="I102" s="52">
        <v>42514</v>
      </c>
      <c r="J102" s="52">
        <v>42545</v>
      </c>
      <c r="K102" s="39"/>
      <c r="L102" s="40"/>
      <c r="M102" s="52">
        <v>42545</v>
      </c>
      <c r="N102" s="36" t="s">
        <v>66</v>
      </c>
    </row>
    <row r="103" spans="1:14" s="24" customFormat="1">
      <c r="A103" s="33">
        <v>178</v>
      </c>
      <c r="B103" s="20" t="s">
        <v>46</v>
      </c>
      <c r="C103" s="20"/>
      <c r="D103" s="20"/>
      <c r="E103" s="34"/>
      <c r="F103" s="35">
        <f>A85</f>
        <v>154</v>
      </c>
      <c r="G103" s="36" t="s">
        <v>16</v>
      </c>
      <c r="H103" s="51" t="s">
        <v>67</v>
      </c>
      <c r="I103" s="52">
        <v>42514</v>
      </c>
      <c r="J103" s="52">
        <v>42545</v>
      </c>
      <c r="K103" s="39"/>
      <c r="L103" s="40"/>
      <c r="M103" s="52">
        <v>42545</v>
      </c>
      <c r="N103" s="36" t="s">
        <v>66</v>
      </c>
    </row>
    <row r="104" spans="1:14" s="24" customFormat="1">
      <c r="A104" s="33">
        <v>179</v>
      </c>
      <c r="B104" s="20" t="s">
        <v>46</v>
      </c>
      <c r="C104" s="20"/>
      <c r="D104" s="20"/>
      <c r="E104" s="34"/>
      <c r="F104" s="35" t="e">
        <f>#REF!</f>
        <v>#REF!</v>
      </c>
      <c r="G104" s="36" t="s">
        <v>16</v>
      </c>
      <c r="H104" s="51" t="s">
        <v>67</v>
      </c>
      <c r="I104" s="52">
        <v>42489</v>
      </c>
      <c r="J104" s="52">
        <v>42545</v>
      </c>
      <c r="K104" s="39"/>
      <c r="L104" s="40"/>
      <c r="M104" s="52">
        <v>42545</v>
      </c>
      <c r="N104" s="36" t="s">
        <v>66</v>
      </c>
    </row>
    <row r="105" spans="1:14" s="24" customFormat="1">
      <c r="A105" s="33">
        <v>180</v>
      </c>
      <c r="B105" s="20" t="s">
        <v>46</v>
      </c>
      <c r="C105" s="20"/>
      <c r="D105" s="20"/>
      <c r="E105" s="34"/>
      <c r="F105" s="35" t="e">
        <f>#REF!</f>
        <v>#REF!</v>
      </c>
      <c r="G105" s="36" t="s">
        <v>16</v>
      </c>
      <c r="H105" s="51" t="s">
        <v>67</v>
      </c>
      <c r="I105" s="52">
        <v>42482</v>
      </c>
      <c r="J105" s="52">
        <v>42545</v>
      </c>
      <c r="K105" s="39"/>
      <c r="L105" s="40"/>
      <c r="M105" s="52">
        <v>42545</v>
      </c>
      <c r="N105" s="36" t="s">
        <v>66</v>
      </c>
    </row>
    <row r="106" spans="1:14" s="24" customFormat="1">
      <c r="A106" s="33">
        <v>181</v>
      </c>
      <c r="B106" s="20" t="s">
        <v>46</v>
      </c>
      <c r="C106" s="20"/>
      <c r="D106" s="20"/>
      <c r="E106" s="34"/>
      <c r="F106" s="35">
        <f>A88</f>
        <v>163</v>
      </c>
      <c r="G106" s="36" t="s">
        <v>16</v>
      </c>
      <c r="H106" s="51" t="s">
        <v>67</v>
      </c>
      <c r="I106" s="52">
        <v>42482</v>
      </c>
      <c r="J106" s="52">
        <v>42545</v>
      </c>
      <c r="K106" s="39"/>
      <c r="L106" s="40"/>
      <c r="M106" s="52">
        <v>42545</v>
      </c>
      <c r="N106" s="36" t="s">
        <v>66</v>
      </c>
    </row>
    <row r="107" spans="1:14" s="24" customFormat="1">
      <c r="A107" s="33">
        <v>182</v>
      </c>
      <c r="B107" s="20" t="s">
        <v>46</v>
      </c>
      <c r="C107" s="20"/>
      <c r="D107" s="20"/>
      <c r="E107" s="34"/>
      <c r="F107" s="35">
        <f>A89</f>
        <v>164</v>
      </c>
      <c r="G107" s="36" t="s">
        <v>16</v>
      </c>
      <c r="H107" s="51" t="s">
        <v>67</v>
      </c>
      <c r="I107" s="52">
        <v>42454</v>
      </c>
      <c r="J107" s="52">
        <v>42545</v>
      </c>
      <c r="K107" s="39"/>
      <c r="L107" s="40"/>
      <c r="M107" s="52">
        <v>42545</v>
      </c>
      <c r="N107" s="36" t="s">
        <v>66</v>
      </c>
    </row>
    <row r="108" spans="1:14" s="24" customFormat="1">
      <c r="A108" s="33">
        <v>60</v>
      </c>
      <c r="B108" s="20" t="s">
        <v>47</v>
      </c>
      <c r="C108" s="20"/>
      <c r="D108" s="20"/>
      <c r="E108" s="34"/>
      <c r="F108" s="35">
        <f t="shared" ref="F108:F118" si="3">$A$56</f>
        <v>113</v>
      </c>
      <c r="G108" s="36" t="s">
        <v>16</v>
      </c>
      <c r="H108" s="37"/>
      <c r="I108" s="52">
        <v>42429</v>
      </c>
      <c r="J108" s="52">
        <v>42433</v>
      </c>
      <c r="K108" s="39"/>
      <c r="L108" s="40"/>
      <c r="M108" s="52">
        <v>42433</v>
      </c>
      <c r="N108" s="36" t="s">
        <v>66</v>
      </c>
    </row>
    <row r="109" spans="1:14" s="24" customFormat="1">
      <c r="A109" s="33">
        <v>61</v>
      </c>
      <c r="B109" s="20" t="s">
        <v>47</v>
      </c>
      <c r="C109" s="20"/>
      <c r="D109" s="20"/>
      <c r="E109" s="34"/>
      <c r="F109" s="35">
        <f t="shared" si="3"/>
        <v>113</v>
      </c>
      <c r="G109" s="36" t="s">
        <v>16</v>
      </c>
      <c r="H109" s="37"/>
      <c r="I109" s="52">
        <v>42439</v>
      </c>
      <c r="J109" s="52">
        <v>42444</v>
      </c>
      <c r="K109" s="39"/>
      <c r="L109" s="40"/>
      <c r="M109" s="52">
        <v>42444</v>
      </c>
      <c r="N109" s="36" t="s">
        <v>66</v>
      </c>
    </row>
    <row r="110" spans="1:14" s="24" customFormat="1">
      <c r="A110" s="33">
        <v>62</v>
      </c>
      <c r="B110" s="20" t="s">
        <v>47</v>
      </c>
      <c r="C110" s="20"/>
      <c r="D110" s="20"/>
      <c r="E110" s="34"/>
      <c r="F110" s="35">
        <f t="shared" si="3"/>
        <v>113</v>
      </c>
      <c r="G110" s="36" t="s">
        <v>16</v>
      </c>
      <c r="H110" s="37"/>
      <c r="I110" s="52">
        <v>42439</v>
      </c>
      <c r="J110" s="52">
        <v>42444</v>
      </c>
      <c r="K110" s="39"/>
      <c r="L110" s="40"/>
      <c r="M110" s="52">
        <v>42444</v>
      </c>
      <c r="N110" s="36" t="s">
        <v>66</v>
      </c>
    </row>
    <row r="111" spans="1:14" s="24" customFormat="1">
      <c r="A111" s="33">
        <v>63</v>
      </c>
      <c r="B111" s="20" t="s">
        <v>47</v>
      </c>
      <c r="C111" s="20"/>
      <c r="D111" s="20"/>
      <c r="E111" s="34"/>
      <c r="F111" s="35">
        <f t="shared" si="3"/>
        <v>113</v>
      </c>
      <c r="G111" s="36" t="s">
        <v>16</v>
      </c>
      <c r="H111" s="37"/>
      <c r="I111" s="52">
        <v>42439</v>
      </c>
      <c r="J111" s="52">
        <v>42444</v>
      </c>
      <c r="K111" s="39"/>
      <c r="L111" s="40"/>
      <c r="M111" s="52">
        <v>42444</v>
      </c>
      <c r="N111" s="36" t="s">
        <v>66</v>
      </c>
    </row>
    <row r="112" spans="1:14" s="24" customFormat="1">
      <c r="A112" s="33">
        <v>64</v>
      </c>
      <c r="B112" s="20" t="s">
        <v>47</v>
      </c>
      <c r="C112" s="20"/>
      <c r="D112" s="20"/>
      <c r="E112" s="34"/>
      <c r="F112" s="35">
        <f t="shared" si="3"/>
        <v>113</v>
      </c>
      <c r="G112" s="36" t="s">
        <v>16</v>
      </c>
      <c r="H112" s="37"/>
      <c r="I112" s="52">
        <v>42439</v>
      </c>
      <c r="J112" s="52">
        <v>42444</v>
      </c>
      <c r="K112" s="39"/>
      <c r="L112" s="40"/>
      <c r="M112" s="52">
        <v>42444</v>
      </c>
      <c r="N112" s="36" t="s">
        <v>66</v>
      </c>
    </row>
    <row r="113" spans="1:14" s="24" customFormat="1">
      <c r="A113" s="33">
        <v>65</v>
      </c>
      <c r="B113" s="20" t="s">
        <v>47</v>
      </c>
      <c r="C113" s="20"/>
      <c r="D113" s="20"/>
      <c r="E113" s="34"/>
      <c r="F113" s="35">
        <f t="shared" si="3"/>
        <v>113</v>
      </c>
      <c r="G113" s="36" t="s">
        <v>16</v>
      </c>
      <c r="H113" s="37"/>
      <c r="I113" s="52">
        <v>42439</v>
      </c>
      <c r="J113" s="52">
        <v>42444</v>
      </c>
      <c r="K113" s="39"/>
      <c r="L113" s="40"/>
      <c r="M113" s="52">
        <v>42444</v>
      </c>
      <c r="N113" s="36" t="s">
        <v>66</v>
      </c>
    </row>
    <row r="114" spans="1:14" s="24" customFormat="1">
      <c r="A114" s="33">
        <v>66</v>
      </c>
      <c r="B114" s="20" t="s">
        <v>47</v>
      </c>
      <c r="C114" s="20"/>
      <c r="D114" s="20"/>
      <c r="E114" s="34"/>
      <c r="F114" s="35">
        <f t="shared" si="3"/>
        <v>113</v>
      </c>
      <c r="G114" s="36" t="s">
        <v>16</v>
      </c>
      <c r="H114" s="37"/>
      <c r="I114" s="52">
        <v>42439</v>
      </c>
      <c r="J114" s="52">
        <v>42444</v>
      </c>
      <c r="K114" s="39"/>
      <c r="L114" s="40"/>
      <c r="M114" s="52">
        <v>42444</v>
      </c>
      <c r="N114" s="36" t="s">
        <v>66</v>
      </c>
    </row>
    <row r="115" spans="1:14" s="24" customFormat="1">
      <c r="A115" s="33">
        <v>67</v>
      </c>
      <c r="B115" s="20" t="s">
        <v>47</v>
      </c>
      <c r="C115" s="20"/>
      <c r="D115" s="20"/>
      <c r="E115" s="34"/>
      <c r="F115" s="35">
        <f t="shared" si="3"/>
        <v>113</v>
      </c>
      <c r="G115" s="36" t="s">
        <v>16</v>
      </c>
      <c r="H115" s="37"/>
      <c r="I115" s="52">
        <v>42439</v>
      </c>
      <c r="J115" s="52">
        <v>42444</v>
      </c>
      <c r="K115" s="39"/>
      <c r="L115" s="40"/>
      <c r="M115" s="52">
        <v>42444</v>
      </c>
      <c r="N115" s="36" t="s">
        <v>66</v>
      </c>
    </row>
    <row r="116" spans="1:14" s="24" customFormat="1">
      <c r="A116" s="33">
        <v>68</v>
      </c>
      <c r="B116" s="20" t="s">
        <v>47</v>
      </c>
      <c r="C116" s="20"/>
      <c r="D116" s="20"/>
      <c r="E116" s="34"/>
      <c r="F116" s="35">
        <f t="shared" si="3"/>
        <v>113</v>
      </c>
      <c r="G116" s="36" t="s">
        <v>16</v>
      </c>
      <c r="H116" s="37"/>
      <c r="I116" s="52">
        <v>42439</v>
      </c>
      <c r="J116" s="52">
        <v>42444</v>
      </c>
      <c r="K116" s="39"/>
      <c r="L116" s="40"/>
      <c r="M116" s="52">
        <v>42444</v>
      </c>
      <c r="N116" s="36" t="s">
        <v>66</v>
      </c>
    </row>
    <row r="117" spans="1:14" s="24" customFormat="1">
      <c r="A117" s="33">
        <v>69</v>
      </c>
      <c r="B117" s="20" t="s">
        <v>47</v>
      </c>
      <c r="C117" s="20"/>
      <c r="D117" s="20"/>
      <c r="E117" s="54"/>
      <c r="F117" s="35">
        <f t="shared" si="3"/>
        <v>113</v>
      </c>
      <c r="G117" s="36"/>
      <c r="H117" s="37"/>
      <c r="I117" s="52">
        <v>42439</v>
      </c>
      <c r="J117" s="52">
        <v>42444</v>
      </c>
      <c r="K117" s="39"/>
      <c r="L117" s="40"/>
      <c r="M117" s="52">
        <v>42444</v>
      </c>
      <c r="N117" s="36" t="s">
        <v>66</v>
      </c>
    </row>
    <row r="118" spans="1:14" s="24" customFormat="1">
      <c r="A118" s="33">
        <v>70</v>
      </c>
      <c r="B118" s="20" t="s">
        <v>47</v>
      </c>
      <c r="C118" s="20"/>
      <c r="D118" s="20"/>
      <c r="E118" s="34"/>
      <c r="F118" s="35">
        <f t="shared" si="3"/>
        <v>113</v>
      </c>
      <c r="G118" s="36" t="s">
        <v>16</v>
      </c>
      <c r="H118" s="37"/>
      <c r="I118" s="52">
        <v>42436</v>
      </c>
      <c r="J118" s="52">
        <v>42444</v>
      </c>
      <c r="K118" s="39"/>
      <c r="L118" s="40"/>
      <c r="M118" s="52">
        <v>42444</v>
      </c>
      <c r="N118" s="36" t="s">
        <v>66</v>
      </c>
    </row>
    <row r="119" spans="1:14" s="24" customFormat="1">
      <c r="A119" s="33">
        <v>212</v>
      </c>
      <c r="B119" s="20" t="s">
        <v>48</v>
      </c>
      <c r="C119" s="20"/>
      <c r="D119" s="20"/>
      <c r="E119" s="34"/>
      <c r="F119" s="35"/>
      <c r="G119" s="36" t="s">
        <v>16</v>
      </c>
      <c r="H119" s="37"/>
      <c r="I119" s="52">
        <v>42569</v>
      </c>
      <c r="J119" s="38">
        <v>42580</v>
      </c>
      <c r="K119" s="39"/>
      <c r="L119" s="40"/>
      <c r="M119" s="38">
        <v>42580</v>
      </c>
      <c r="N119" s="36" t="s">
        <v>66</v>
      </c>
    </row>
    <row r="120" spans="1:14" s="24" customFormat="1">
      <c r="A120" s="33">
        <v>213</v>
      </c>
      <c r="B120" s="20" t="s">
        <v>48</v>
      </c>
      <c r="C120" s="20"/>
      <c r="D120" s="20"/>
      <c r="E120" s="34"/>
      <c r="F120" s="35"/>
      <c r="G120" s="36" t="s">
        <v>16</v>
      </c>
      <c r="H120" s="37"/>
      <c r="I120" s="52">
        <v>42569</v>
      </c>
      <c r="J120" s="38">
        <v>42580</v>
      </c>
      <c r="K120" s="39"/>
      <c r="L120" s="40"/>
      <c r="M120" s="38">
        <v>42580</v>
      </c>
      <c r="N120" s="36" t="s">
        <v>66</v>
      </c>
    </row>
    <row r="121" spans="1:14" s="24" customFormat="1">
      <c r="A121" s="33">
        <v>214</v>
      </c>
      <c r="B121" s="20" t="s">
        <v>48</v>
      </c>
      <c r="C121" s="20"/>
      <c r="D121" s="20"/>
      <c r="E121" s="34"/>
      <c r="F121" s="35"/>
      <c r="G121" s="36" t="s">
        <v>16</v>
      </c>
      <c r="H121" s="37"/>
      <c r="I121" s="52">
        <v>42569</v>
      </c>
      <c r="J121" s="38">
        <v>42580</v>
      </c>
      <c r="K121" s="39"/>
      <c r="L121" s="40"/>
      <c r="M121" s="38">
        <v>42580</v>
      </c>
      <c r="N121" s="36" t="s">
        <v>66</v>
      </c>
    </row>
    <row r="122" spans="1:14" s="24" customFormat="1">
      <c r="A122" s="33">
        <v>215</v>
      </c>
      <c r="B122" s="20" t="s">
        <v>48</v>
      </c>
      <c r="C122" s="20"/>
      <c r="D122" s="20"/>
      <c r="E122" s="34"/>
      <c r="F122" s="35"/>
      <c r="G122" s="36" t="s">
        <v>16</v>
      </c>
      <c r="H122" s="37"/>
      <c r="I122" s="52">
        <v>42569</v>
      </c>
      <c r="J122" s="38">
        <v>42580</v>
      </c>
      <c r="K122" s="39"/>
      <c r="L122" s="40"/>
      <c r="M122" s="38">
        <v>42580</v>
      </c>
      <c r="N122" s="36" t="s">
        <v>66</v>
      </c>
    </row>
    <row r="123" spans="1:14" s="24" customFormat="1">
      <c r="A123" s="33">
        <v>216</v>
      </c>
      <c r="B123" s="20" t="s">
        <v>48</v>
      </c>
      <c r="C123" s="20"/>
      <c r="D123" s="20"/>
      <c r="E123" s="34"/>
      <c r="F123" s="35"/>
      <c r="G123" s="36"/>
      <c r="H123" s="37"/>
      <c r="I123" s="52">
        <v>42569</v>
      </c>
      <c r="J123" s="38">
        <v>42580</v>
      </c>
      <c r="K123" s="39"/>
      <c r="L123" s="40"/>
      <c r="M123" s="38">
        <v>42580</v>
      </c>
      <c r="N123" s="36" t="s">
        <v>66</v>
      </c>
    </row>
    <row r="124" spans="1:14" s="24" customFormat="1">
      <c r="A124" s="33">
        <v>217</v>
      </c>
      <c r="B124" s="20" t="s">
        <v>48</v>
      </c>
      <c r="C124" s="20"/>
      <c r="D124" s="20"/>
      <c r="E124" s="34"/>
      <c r="F124" s="35"/>
      <c r="G124" s="36" t="s">
        <v>17</v>
      </c>
      <c r="H124" s="37"/>
      <c r="I124" s="52"/>
      <c r="J124" s="38"/>
      <c r="K124" s="39"/>
      <c r="L124" s="40"/>
      <c r="M124" s="38"/>
      <c r="N124" s="36" t="s">
        <v>66</v>
      </c>
    </row>
    <row r="125" spans="1:14" s="24" customFormat="1">
      <c r="A125" s="33">
        <v>218</v>
      </c>
      <c r="B125" s="20" t="s">
        <v>48</v>
      </c>
      <c r="C125" s="20"/>
      <c r="D125" s="20"/>
      <c r="E125" s="34"/>
      <c r="F125" s="35"/>
      <c r="G125" s="36" t="s">
        <v>17</v>
      </c>
      <c r="H125" s="37"/>
      <c r="I125" s="52"/>
      <c r="J125" s="38"/>
      <c r="K125" s="39"/>
      <c r="L125" s="40"/>
      <c r="M125" s="38"/>
      <c r="N125" s="36" t="s">
        <v>66</v>
      </c>
    </row>
    <row r="126" spans="1:14" s="24" customFormat="1">
      <c r="A126" s="33">
        <v>219</v>
      </c>
      <c r="B126" s="20" t="s">
        <v>48</v>
      </c>
      <c r="C126" s="20"/>
      <c r="D126" s="20"/>
      <c r="E126" s="34"/>
      <c r="F126" s="35"/>
      <c r="G126" s="36" t="s">
        <v>17</v>
      </c>
      <c r="H126" s="37"/>
      <c r="I126" s="52"/>
      <c r="J126" s="38"/>
      <c r="K126" s="39"/>
      <c r="L126" s="40"/>
      <c r="M126" s="38"/>
      <c r="N126" s="36" t="s">
        <v>66</v>
      </c>
    </row>
    <row r="127" spans="1:14" s="24" customFormat="1">
      <c r="A127" s="33">
        <v>220</v>
      </c>
      <c r="B127" s="20" t="s">
        <v>48</v>
      </c>
      <c r="C127" s="20"/>
      <c r="D127" s="20"/>
      <c r="E127" s="34"/>
      <c r="F127" s="35"/>
      <c r="G127" s="36" t="s">
        <v>16</v>
      </c>
      <c r="H127" s="37">
        <v>42578</v>
      </c>
      <c r="I127" s="52">
        <v>42578</v>
      </c>
      <c r="J127" s="38">
        <v>42578</v>
      </c>
      <c r="K127" s="39"/>
      <c r="L127" s="40"/>
      <c r="M127" s="38">
        <v>42578</v>
      </c>
      <c r="N127" s="36" t="s">
        <v>66</v>
      </c>
    </row>
    <row r="128" spans="1:14" s="24" customFormat="1">
      <c r="A128" s="33">
        <v>221</v>
      </c>
      <c r="B128" s="20" t="s">
        <v>48</v>
      </c>
      <c r="C128" s="20"/>
      <c r="D128" s="20"/>
      <c r="E128" s="34"/>
      <c r="F128" s="35"/>
      <c r="G128" s="36" t="s">
        <v>16</v>
      </c>
      <c r="H128" s="37">
        <v>42597</v>
      </c>
      <c r="I128" s="52">
        <v>42597</v>
      </c>
      <c r="J128" s="38">
        <v>42597</v>
      </c>
      <c r="K128" s="39"/>
      <c r="L128" s="40"/>
      <c r="M128" s="38">
        <v>42597</v>
      </c>
      <c r="N128" s="36" t="s">
        <v>66</v>
      </c>
    </row>
    <row r="129" spans="1:14" s="24" customFormat="1">
      <c r="A129" s="33">
        <v>222</v>
      </c>
      <c r="B129" s="20" t="s">
        <v>48</v>
      </c>
      <c r="C129" s="20"/>
      <c r="D129" s="20"/>
      <c r="E129" s="34"/>
      <c r="F129" s="35"/>
      <c r="G129" s="36" t="s">
        <v>16</v>
      </c>
      <c r="H129" s="37">
        <v>42605</v>
      </c>
      <c r="I129" s="52">
        <v>42605</v>
      </c>
      <c r="J129" s="38">
        <v>42605</v>
      </c>
      <c r="K129" s="39"/>
      <c r="L129" s="40"/>
      <c r="M129" s="38">
        <v>42605</v>
      </c>
      <c r="N129" s="36" t="s">
        <v>66</v>
      </c>
    </row>
    <row r="130" spans="1:14" s="24" customFormat="1">
      <c r="A130" s="33">
        <v>136</v>
      </c>
      <c r="B130" s="20" t="s">
        <v>49</v>
      </c>
      <c r="C130" s="20"/>
      <c r="D130" s="20"/>
      <c r="E130" s="34"/>
      <c r="F130" s="35">
        <f>A128</f>
        <v>221</v>
      </c>
      <c r="G130" s="36"/>
      <c r="H130" s="51" t="s">
        <v>67</v>
      </c>
      <c r="I130" s="38">
        <v>42536</v>
      </c>
      <c r="J130" s="52">
        <v>42605</v>
      </c>
      <c r="K130" s="39"/>
      <c r="L130" s="40"/>
      <c r="M130" s="52">
        <v>42605</v>
      </c>
      <c r="N130" s="36" t="s">
        <v>66</v>
      </c>
    </row>
    <row r="131" spans="1:14" s="24" customFormat="1">
      <c r="A131" s="33">
        <v>137</v>
      </c>
      <c r="B131" s="20" t="s">
        <v>49</v>
      </c>
      <c r="C131" s="20"/>
      <c r="D131" s="20"/>
      <c r="E131" s="34"/>
      <c r="F131" s="35">
        <f>A129</f>
        <v>222</v>
      </c>
      <c r="G131" s="36"/>
      <c r="H131" s="51" t="s">
        <v>67</v>
      </c>
      <c r="I131" s="38">
        <v>42536</v>
      </c>
      <c r="J131" s="52">
        <v>42605</v>
      </c>
      <c r="K131" s="39"/>
      <c r="L131" s="40"/>
      <c r="M131" s="52">
        <v>42605</v>
      </c>
      <c r="N131" s="36" t="s">
        <v>66</v>
      </c>
    </row>
    <row r="132" spans="1:14" s="24" customFormat="1">
      <c r="A132" s="33">
        <v>138</v>
      </c>
      <c r="B132" s="20" t="s">
        <v>49</v>
      </c>
      <c r="C132" s="20"/>
      <c r="D132" s="20"/>
      <c r="E132" s="34"/>
      <c r="F132" s="35">
        <f t="shared" ref="F132:F137" si="4">A119</f>
        <v>212</v>
      </c>
      <c r="G132" s="36" t="s">
        <v>16</v>
      </c>
      <c r="H132" s="51" t="s">
        <v>67</v>
      </c>
      <c r="I132" s="38">
        <v>42536</v>
      </c>
      <c r="J132" s="52">
        <v>42605</v>
      </c>
      <c r="K132" s="39"/>
      <c r="L132" s="40"/>
      <c r="M132" s="52">
        <v>42605</v>
      </c>
      <c r="N132" s="36" t="s">
        <v>66</v>
      </c>
    </row>
    <row r="133" spans="1:14" s="24" customFormat="1">
      <c r="A133" s="33">
        <v>139</v>
      </c>
      <c r="B133" s="20" t="s">
        <v>49</v>
      </c>
      <c r="C133" s="20"/>
      <c r="D133" s="20"/>
      <c r="E133" s="34"/>
      <c r="F133" s="35">
        <f t="shared" si="4"/>
        <v>213</v>
      </c>
      <c r="G133" s="36" t="s">
        <v>16</v>
      </c>
      <c r="H133" s="51" t="s">
        <v>67</v>
      </c>
      <c r="I133" s="38">
        <v>42536</v>
      </c>
      <c r="J133" s="52">
        <v>42605</v>
      </c>
      <c r="K133" s="39"/>
      <c r="L133" s="40"/>
      <c r="M133" s="52">
        <v>42605</v>
      </c>
      <c r="N133" s="36" t="s">
        <v>66</v>
      </c>
    </row>
    <row r="134" spans="1:14" s="24" customFormat="1">
      <c r="A134" s="33">
        <v>140</v>
      </c>
      <c r="B134" s="20" t="s">
        <v>49</v>
      </c>
      <c r="C134" s="20"/>
      <c r="D134" s="20"/>
      <c r="E134" s="34"/>
      <c r="F134" s="35">
        <f t="shared" si="4"/>
        <v>214</v>
      </c>
      <c r="G134" s="36" t="s">
        <v>16</v>
      </c>
      <c r="H134" s="51" t="s">
        <v>67</v>
      </c>
      <c r="I134" s="38">
        <v>42536</v>
      </c>
      <c r="J134" s="52">
        <v>42605</v>
      </c>
      <c r="K134" s="39"/>
      <c r="L134" s="40"/>
      <c r="M134" s="52">
        <v>42605</v>
      </c>
      <c r="N134" s="36" t="s">
        <v>66</v>
      </c>
    </row>
    <row r="135" spans="1:14" s="24" customFormat="1">
      <c r="A135" s="33">
        <v>141</v>
      </c>
      <c r="B135" s="20" t="s">
        <v>49</v>
      </c>
      <c r="C135" s="20"/>
      <c r="D135" s="20"/>
      <c r="E135" s="34"/>
      <c r="F135" s="35">
        <f t="shared" si="4"/>
        <v>215</v>
      </c>
      <c r="G135" s="36" t="s">
        <v>16</v>
      </c>
      <c r="H135" s="51" t="s">
        <v>67</v>
      </c>
      <c r="I135" s="38">
        <v>42536</v>
      </c>
      <c r="J135" s="52">
        <v>42605</v>
      </c>
      <c r="K135" s="39"/>
      <c r="L135" s="40"/>
      <c r="M135" s="52">
        <v>42605</v>
      </c>
      <c r="N135" s="36" t="s">
        <v>66</v>
      </c>
    </row>
    <row r="136" spans="1:14" s="24" customFormat="1">
      <c r="A136" s="33">
        <v>142</v>
      </c>
      <c r="B136" s="20" t="s">
        <v>49</v>
      </c>
      <c r="C136" s="20"/>
      <c r="D136" s="20"/>
      <c r="E136" s="34"/>
      <c r="F136" s="35">
        <f t="shared" si="4"/>
        <v>216</v>
      </c>
      <c r="G136" s="36" t="s">
        <v>16</v>
      </c>
      <c r="H136" s="51" t="s">
        <v>67</v>
      </c>
      <c r="I136" s="38">
        <v>42536</v>
      </c>
      <c r="J136" s="52">
        <v>42605</v>
      </c>
      <c r="K136" s="39"/>
      <c r="L136" s="40"/>
      <c r="M136" s="52">
        <v>42605</v>
      </c>
      <c r="N136" s="36" t="s">
        <v>66</v>
      </c>
    </row>
    <row r="137" spans="1:14" s="24" customFormat="1">
      <c r="A137" s="33">
        <v>143</v>
      </c>
      <c r="B137" s="20" t="s">
        <v>49</v>
      </c>
      <c r="C137" s="20"/>
      <c r="D137" s="20"/>
      <c r="E137" s="34"/>
      <c r="F137" s="35">
        <f t="shared" si="4"/>
        <v>217</v>
      </c>
      <c r="G137" s="36" t="s">
        <v>16</v>
      </c>
      <c r="H137" s="51" t="s">
        <v>67</v>
      </c>
      <c r="I137" s="38">
        <v>42536</v>
      </c>
      <c r="J137" s="52">
        <v>42605</v>
      </c>
      <c r="K137" s="39"/>
      <c r="L137" s="40"/>
      <c r="M137" s="52">
        <v>42605</v>
      </c>
      <c r="N137" s="36" t="s">
        <v>66</v>
      </c>
    </row>
    <row r="138" spans="1:14" s="24" customFormat="1">
      <c r="A138" s="33">
        <v>144</v>
      </c>
      <c r="B138" s="20" t="s">
        <v>49</v>
      </c>
      <c r="C138" s="20"/>
      <c r="D138" s="20"/>
      <c r="E138" s="34"/>
      <c r="F138" s="35">
        <f>A126</f>
        <v>219</v>
      </c>
      <c r="G138" s="36"/>
      <c r="H138" s="51" t="s">
        <v>67</v>
      </c>
      <c r="I138" s="38">
        <v>42538</v>
      </c>
      <c r="J138" s="52">
        <v>42605</v>
      </c>
      <c r="K138" s="39"/>
      <c r="L138" s="40"/>
      <c r="M138" s="52">
        <v>42605</v>
      </c>
      <c r="N138" s="36"/>
    </row>
    <row r="139" spans="1:14" s="24" customFormat="1">
      <c r="A139" s="33">
        <v>155</v>
      </c>
      <c r="B139" s="20" t="s">
        <v>50</v>
      </c>
      <c r="C139" s="20"/>
      <c r="D139" s="20"/>
      <c r="E139" s="34"/>
      <c r="F139" s="35"/>
      <c r="G139" s="36" t="s">
        <v>17</v>
      </c>
      <c r="H139" s="51" t="s">
        <v>67</v>
      </c>
      <c r="I139" s="52"/>
      <c r="J139" s="38"/>
      <c r="K139" s="39"/>
      <c r="L139" s="40"/>
      <c r="M139" s="38"/>
      <c r="N139" s="36" t="s">
        <v>66</v>
      </c>
    </row>
    <row r="140" spans="1:14" s="24" customFormat="1">
      <c r="A140" s="33">
        <v>156</v>
      </c>
      <c r="B140" s="20" t="s">
        <v>50</v>
      </c>
      <c r="C140" s="20"/>
      <c r="D140" s="20"/>
      <c r="E140" s="34"/>
      <c r="F140" s="35">
        <f>A109</f>
        <v>61</v>
      </c>
      <c r="G140" s="36" t="s">
        <v>16</v>
      </c>
      <c r="H140" s="51" t="s">
        <v>67</v>
      </c>
      <c r="I140" s="52">
        <v>42527</v>
      </c>
      <c r="J140" s="52">
        <v>42538</v>
      </c>
      <c r="K140" s="39"/>
      <c r="L140" s="40"/>
      <c r="M140" s="52">
        <v>42538</v>
      </c>
      <c r="N140" s="36" t="s">
        <v>66</v>
      </c>
    </row>
    <row r="141" spans="1:14" s="24" customFormat="1">
      <c r="A141" s="33">
        <v>157</v>
      </c>
      <c r="B141" s="20" t="s">
        <v>50</v>
      </c>
      <c r="C141" s="20"/>
      <c r="D141" s="20"/>
      <c r="E141" s="34"/>
      <c r="F141" s="35">
        <f>A110</f>
        <v>62</v>
      </c>
      <c r="G141" s="36" t="s">
        <v>16</v>
      </c>
      <c r="H141" s="51" t="s">
        <v>67</v>
      </c>
      <c r="I141" s="52">
        <v>42527</v>
      </c>
      <c r="J141" s="52">
        <v>42538</v>
      </c>
      <c r="K141" s="39"/>
      <c r="L141" s="40"/>
      <c r="M141" s="52">
        <v>42538</v>
      </c>
      <c r="N141" s="36" t="s">
        <v>66</v>
      </c>
    </row>
    <row r="142" spans="1:14" s="24" customFormat="1">
      <c r="A142" s="33">
        <v>158</v>
      </c>
      <c r="B142" s="20" t="s">
        <v>50</v>
      </c>
      <c r="C142" s="20"/>
      <c r="D142" s="20"/>
      <c r="E142" s="34"/>
      <c r="F142" s="35">
        <f>A111</f>
        <v>63</v>
      </c>
      <c r="G142" s="36" t="s">
        <v>16</v>
      </c>
      <c r="H142" s="51" t="s">
        <v>67</v>
      </c>
      <c r="I142" s="52">
        <v>42527</v>
      </c>
      <c r="J142" s="52">
        <v>42538</v>
      </c>
      <c r="K142" s="39"/>
      <c r="L142" s="40"/>
      <c r="M142" s="52">
        <v>42538</v>
      </c>
      <c r="N142" s="36" t="s">
        <v>66</v>
      </c>
    </row>
    <row r="143" spans="1:14" s="24" customFormat="1">
      <c r="A143" s="33">
        <v>159</v>
      </c>
      <c r="B143" s="20" t="s">
        <v>50</v>
      </c>
      <c r="C143" s="20"/>
      <c r="D143" s="20"/>
      <c r="E143" s="34"/>
      <c r="F143" s="35">
        <f>A112</f>
        <v>64</v>
      </c>
      <c r="G143" s="36" t="s">
        <v>16</v>
      </c>
      <c r="H143" s="51" t="s">
        <v>67</v>
      </c>
      <c r="I143" s="52">
        <v>42527</v>
      </c>
      <c r="J143" s="52">
        <v>42538</v>
      </c>
      <c r="K143" s="39"/>
      <c r="L143" s="40"/>
      <c r="M143" s="52">
        <v>42538</v>
      </c>
      <c r="N143" s="36" t="s">
        <v>66</v>
      </c>
    </row>
    <row r="144" spans="1:14" s="24" customFormat="1">
      <c r="A144" s="33">
        <v>160</v>
      </c>
      <c r="B144" s="20" t="s">
        <v>50</v>
      </c>
      <c r="C144" s="20"/>
      <c r="D144" s="20"/>
      <c r="E144" s="34"/>
      <c r="F144" s="35">
        <f>A113</f>
        <v>65</v>
      </c>
      <c r="G144" s="36" t="s">
        <v>16</v>
      </c>
      <c r="H144" s="51" t="s">
        <v>67</v>
      </c>
      <c r="I144" s="52">
        <v>42527</v>
      </c>
      <c r="J144" s="52">
        <v>42538</v>
      </c>
      <c r="K144" s="39"/>
      <c r="L144" s="40"/>
      <c r="M144" s="52">
        <v>42538</v>
      </c>
      <c r="N144" s="36" t="s">
        <v>66</v>
      </c>
    </row>
    <row r="145" spans="1:14" s="24" customFormat="1">
      <c r="A145" s="33">
        <v>204</v>
      </c>
      <c r="B145" s="20" t="s">
        <v>50</v>
      </c>
      <c r="C145" s="20"/>
      <c r="D145" s="20"/>
      <c r="E145" s="34"/>
      <c r="F145" s="35"/>
      <c r="G145" s="36" t="s">
        <v>16</v>
      </c>
      <c r="H145" s="51" t="s">
        <v>67</v>
      </c>
      <c r="I145" s="38">
        <v>42506</v>
      </c>
      <c r="J145" s="38">
        <v>42510</v>
      </c>
      <c r="K145" s="39"/>
      <c r="L145" s="40"/>
      <c r="M145" s="38">
        <v>42510</v>
      </c>
      <c r="N145" s="36" t="s">
        <v>66</v>
      </c>
    </row>
    <row r="146" spans="1:14" s="24" customFormat="1">
      <c r="A146" s="33">
        <v>205</v>
      </c>
      <c r="B146" s="20" t="s">
        <v>50</v>
      </c>
      <c r="C146" s="20"/>
      <c r="D146" s="20"/>
      <c r="E146" s="34"/>
      <c r="F146" s="35">
        <f t="shared" ref="F146:F152" si="5">A145</f>
        <v>204</v>
      </c>
      <c r="G146" s="36"/>
      <c r="H146" s="37"/>
      <c r="I146" s="38">
        <v>42510</v>
      </c>
      <c r="J146" s="52">
        <v>42524</v>
      </c>
      <c r="K146" s="39"/>
      <c r="L146" s="40"/>
      <c r="M146" s="52">
        <v>42524</v>
      </c>
      <c r="N146" s="36" t="s">
        <v>66</v>
      </c>
    </row>
    <row r="147" spans="1:14" s="24" customFormat="1">
      <c r="A147" s="33">
        <v>206</v>
      </c>
      <c r="B147" s="20" t="s">
        <v>50</v>
      </c>
      <c r="C147" s="20"/>
      <c r="D147" s="20"/>
      <c r="E147" s="34"/>
      <c r="F147" s="35">
        <f t="shared" si="5"/>
        <v>205</v>
      </c>
      <c r="G147" s="36"/>
      <c r="H147" s="51" t="s">
        <v>67</v>
      </c>
      <c r="I147" s="52">
        <v>42527</v>
      </c>
      <c r="J147" s="52">
        <v>42531</v>
      </c>
      <c r="K147" s="39"/>
      <c r="L147" s="40"/>
      <c r="M147" s="52">
        <v>42531</v>
      </c>
      <c r="N147" s="36" t="s">
        <v>66</v>
      </c>
    </row>
    <row r="148" spans="1:14" s="24" customFormat="1">
      <c r="A148" s="33">
        <v>207</v>
      </c>
      <c r="B148" s="20" t="s">
        <v>50</v>
      </c>
      <c r="C148" s="20"/>
      <c r="D148" s="20"/>
      <c r="E148" s="34"/>
      <c r="F148" s="35">
        <f t="shared" si="5"/>
        <v>206</v>
      </c>
      <c r="G148" s="36"/>
      <c r="H148" s="51" t="s">
        <v>67</v>
      </c>
      <c r="I148" s="52">
        <v>42529</v>
      </c>
      <c r="J148" s="52">
        <v>42531</v>
      </c>
      <c r="K148" s="39"/>
      <c r="L148" s="40"/>
      <c r="M148" s="52">
        <v>42531</v>
      </c>
      <c r="N148" s="36" t="s">
        <v>66</v>
      </c>
    </row>
    <row r="149" spans="1:14" s="24" customFormat="1">
      <c r="A149" s="33">
        <v>208</v>
      </c>
      <c r="B149" s="20" t="s">
        <v>50</v>
      </c>
      <c r="C149" s="20"/>
      <c r="D149" s="20"/>
      <c r="E149" s="34"/>
      <c r="F149" s="35">
        <f t="shared" si="5"/>
        <v>207</v>
      </c>
      <c r="G149" s="36" t="s">
        <v>16</v>
      </c>
      <c r="H149" s="51" t="s">
        <v>67</v>
      </c>
      <c r="I149" s="52">
        <v>42534</v>
      </c>
      <c r="J149" s="52">
        <v>42538</v>
      </c>
      <c r="K149" s="39"/>
      <c r="L149" s="40"/>
      <c r="M149" s="52">
        <v>42538</v>
      </c>
      <c r="N149" s="36" t="s">
        <v>66</v>
      </c>
    </row>
    <row r="150" spans="1:14" s="24" customFormat="1">
      <c r="A150" s="33">
        <v>209</v>
      </c>
      <c r="B150" s="20" t="s">
        <v>50</v>
      </c>
      <c r="C150" s="20"/>
      <c r="D150" s="20"/>
      <c r="E150" s="34"/>
      <c r="F150" s="35">
        <f t="shared" si="5"/>
        <v>208</v>
      </c>
      <c r="G150" s="36"/>
      <c r="H150" s="37"/>
      <c r="I150" s="52">
        <v>42538</v>
      </c>
      <c r="J150" s="52">
        <v>42545</v>
      </c>
      <c r="K150" s="39"/>
      <c r="L150" s="40"/>
      <c r="M150" s="52">
        <v>42545</v>
      </c>
      <c r="N150" s="36" t="s">
        <v>66</v>
      </c>
    </row>
    <row r="151" spans="1:14" s="24" customFormat="1">
      <c r="A151" s="33">
        <v>210</v>
      </c>
      <c r="B151" s="20" t="s">
        <v>50</v>
      </c>
      <c r="C151" s="20"/>
      <c r="D151" s="20"/>
      <c r="E151" s="34"/>
      <c r="F151" s="35">
        <f t="shared" si="5"/>
        <v>209</v>
      </c>
      <c r="G151" s="36"/>
      <c r="H151" s="51" t="s">
        <v>67</v>
      </c>
      <c r="I151" s="52">
        <v>42547</v>
      </c>
      <c r="J151" s="38">
        <v>42551</v>
      </c>
      <c r="K151" s="39"/>
      <c r="L151" s="40"/>
      <c r="M151" s="38">
        <v>42551</v>
      </c>
      <c r="N151" s="36" t="s">
        <v>66</v>
      </c>
    </row>
    <row r="152" spans="1:14" s="24" customFormat="1">
      <c r="A152" s="33">
        <v>211</v>
      </c>
      <c r="B152" s="20" t="s">
        <v>50</v>
      </c>
      <c r="C152" s="20"/>
      <c r="D152" s="20"/>
      <c r="E152" s="34"/>
      <c r="F152" s="35">
        <f t="shared" si="5"/>
        <v>210</v>
      </c>
      <c r="G152" s="36"/>
      <c r="H152" s="51" t="s">
        <v>67</v>
      </c>
      <c r="I152" s="52">
        <v>42549</v>
      </c>
      <c r="J152" s="38">
        <v>42551</v>
      </c>
      <c r="K152" s="39"/>
      <c r="L152" s="40"/>
      <c r="M152" s="38">
        <v>42551</v>
      </c>
      <c r="N152" s="36" t="s">
        <v>66</v>
      </c>
    </row>
    <row r="153" spans="1:14" s="24" customFormat="1">
      <c r="A153" s="33">
        <v>1</v>
      </c>
      <c r="B153" s="20" t="s">
        <v>51</v>
      </c>
      <c r="C153" s="20"/>
      <c r="D153" s="20"/>
      <c r="E153" s="34"/>
      <c r="F153" s="35"/>
      <c r="G153" s="36" t="s">
        <v>18</v>
      </c>
      <c r="H153" s="55"/>
      <c r="I153" s="38">
        <v>42309</v>
      </c>
      <c r="J153" s="38">
        <v>42356</v>
      </c>
      <c r="K153" s="39"/>
      <c r="L153" s="40"/>
      <c r="M153" s="38">
        <v>42356</v>
      </c>
      <c r="N153" s="36" t="s">
        <v>66</v>
      </c>
    </row>
    <row r="154" spans="1:14" s="24" customFormat="1">
      <c r="A154" s="33">
        <v>2</v>
      </c>
      <c r="B154" s="20" t="s">
        <v>51</v>
      </c>
      <c r="C154" s="20"/>
      <c r="D154" s="20"/>
      <c r="E154" s="34"/>
      <c r="F154" s="35"/>
      <c r="G154" s="36" t="s">
        <v>18</v>
      </c>
      <c r="H154" s="55"/>
      <c r="I154" s="38">
        <v>42309</v>
      </c>
      <c r="J154" s="38">
        <v>42356</v>
      </c>
      <c r="K154" s="39"/>
      <c r="L154" s="40"/>
      <c r="M154" s="38">
        <v>42356</v>
      </c>
      <c r="N154" s="36" t="s">
        <v>66</v>
      </c>
    </row>
    <row r="155" spans="1:14" s="24" customFormat="1">
      <c r="A155" s="33">
        <v>3</v>
      </c>
      <c r="B155" s="20" t="s">
        <v>51</v>
      </c>
      <c r="C155" s="20"/>
      <c r="D155" s="20"/>
      <c r="E155" s="34"/>
      <c r="F155" s="35"/>
      <c r="G155" s="36" t="s">
        <v>18</v>
      </c>
      <c r="H155" s="55"/>
      <c r="I155" s="38">
        <v>42309</v>
      </c>
      <c r="J155" s="38">
        <v>42356</v>
      </c>
      <c r="K155" s="39"/>
      <c r="L155" s="40"/>
      <c r="M155" s="38">
        <v>42356</v>
      </c>
      <c r="N155" s="36" t="s">
        <v>66</v>
      </c>
    </row>
    <row r="156" spans="1:14" s="24" customFormat="1">
      <c r="A156" s="33">
        <v>4</v>
      </c>
      <c r="B156" s="20" t="s">
        <v>51</v>
      </c>
      <c r="C156" s="20"/>
      <c r="D156" s="20"/>
      <c r="E156" s="34"/>
      <c r="F156" s="35"/>
      <c r="G156" s="36" t="s">
        <v>18</v>
      </c>
      <c r="H156" s="55"/>
      <c r="I156" s="38">
        <v>42309</v>
      </c>
      <c r="J156" s="38">
        <v>42356</v>
      </c>
      <c r="K156" s="39"/>
      <c r="L156" s="40"/>
      <c r="M156" s="38">
        <v>42356</v>
      </c>
      <c r="N156" s="36" t="s">
        <v>66</v>
      </c>
    </row>
    <row r="157" spans="1:14" s="24" customFormat="1">
      <c r="A157" s="33">
        <v>5</v>
      </c>
      <c r="B157" s="20" t="s">
        <v>51</v>
      </c>
      <c r="C157" s="20"/>
      <c r="D157" s="20"/>
      <c r="E157" s="34"/>
      <c r="F157" s="35"/>
      <c r="G157" s="36" t="s">
        <v>18</v>
      </c>
      <c r="H157" s="55"/>
      <c r="I157" s="38">
        <v>42309</v>
      </c>
      <c r="J157" s="38">
        <v>42356</v>
      </c>
      <c r="K157" s="39"/>
      <c r="L157" s="40"/>
      <c r="M157" s="38">
        <v>42356</v>
      </c>
      <c r="N157" s="36" t="s">
        <v>66</v>
      </c>
    </row>
    <row r="158" spans="1:14" s="24" customFormat="1">
      <c r="A158" s="33">
        <v>6</v>
      </c>
      <c r="B158" s="20" t="s">
        <v>51</v>
      </c>
      <c r="C158" s="20"/>
      <c r="D158" s="20"/>
      <c r="E158" s="34"/>
      <c r="F158" s="35"/>
      <c r="G158" s="36" t="s">
        <v>18</v>
      </c>
      <c r="H158" s="55"/>
      <c r="I158" s="38">
        <v>42309</v>
      </c>
      <c r="J158" s="38">
        <v>42356</v>
      </c>
      <c r="K158" s="39"/>
      <c r="L158" s="40"/>
      <c r="M158" s="38">
        <v>42356</v>
      </c>
      <c r="N158" s="36" t="s">
        <v>66</v>
      </c>
    </row>
    <row r="159" spans="1:14" s="24" customFormat="1">
      <c r="A159" s="33">
        <v>7</v>
      </c>
      <c r="B159" s="20" t="s">
        <v>51</v>
      </c>
      <c r="C159" s="20"/>
      <c r="D159" s="20"/>
      <c r="E159" s="34"/>
      <c r="F159" s="35"/>
      <c r="G159" s="36" t="s">
        <v>18</v>
      </c>
      <c r="H159" s="55"/>
      <c r="I159" s="38">
        <v>42309</v>
      </c>
      <c r="J159" s="38">
        <v>42356</v>
      </c>
      <c r="K159" s="39"/>
      <c r="L159" s="40"/>
      <c r="M159" s="38">
        <v>42356</v>
      </c>
      <c r="N159" s="36" t="s">
        <v>66</v>
      </c>
    </row>
    <row r="160" spans="1:14" s="24" customFormat="1">
      <c r="A160" s="33">
        <v>8</v>
      </c>
      <c r="B160" s="20" t="s">
        <v>51</v>
      </c>
      <c r="C160" s="20"/>
      <c r="D160" s="78" t="s">
        <v>79</v>
      </c>
      <c r="E160" s="34"/>
      <c r="F160" s="35"/>
      <c r="G160" s="36" t="s">
        <v>18</v>
      </c>
      <c r="H160" s="55"/>
      <c r="I160" s="38">
        <v>42309</v>
      </c>
      <c r="J160" s="38">
        <v>42356</v>
      </c>
      <c r="K160" s="39"/>
      <c r="L160" s="40"/>
      <c r="M160" s="38">
        <v>42356</v>
      </c>
      <c r="N160" s="36" t="s">
        <v>66</v>
      </c>
    </row>
    <row r="161" spans="1:14" s="24" customFormat="1">
      <c r="A161" s="33">
        <v>9</v>
      </c>
      <c r="B161" s="20" t="s">
        <v>51</v>
      </c>
      <c r="C161" s="20"/>
      <c r="D161" s="20"/>
      <c r="E161" s="34"/>
      <c r="F161" s="35"/>
      <c r="G161" s="36" t="s">
        <v>18</v>
      </c>
      <c r="H161" s="55"/>
      <c r="I161" s="38">
        <v>42309</v>
      </c>
      <c r="J161" s="38">
        <v>42356</v>
      </c>
      <c r="K161" s="39"/>
      <c r="L161" s="40"/>
      <c r="M161" s="38">
        <v>42356</v>
      </c>
      <c r="N161" s="36" t="s">
        <v>66</v>
      </c>
    </row>
    <row r="162" spans="1:14" s="24" customFormat="1">
      <c r="A162" s="33">
        <v>10</v>
      </c>
      <c r="B162" s="20" t="s">
        <v>51</v>
      </c>
      <c r="C162" s="20"/>
      <c r="D162" s="20"/>
      <c r="E162" s="34"/>
      <c r="F162" s="35"/>
      <c r="G162" s="36" t="s">
        <v>18</v>
      </c>
      <c r="H162" s="55"/>
      <c r="I162" s="38">
        <v>42309</v>
      </c>
      <c r="J162" s="38">
        <v>42356</v>
      </c>
      <c r="K162" s="39"/>
      <c r="L162" s="40"/>
      <c r="M162" s="38">
        <v>42356</v>
      </c>
      <c r="N162" s="36" t="s">
        <v>66</v>
      </c>
    </row>
    <row r="163" spans="1:14" s="24" customFormat="1">
      <c r="A163" s="33">
        <v>11</v>
      </c>
      <c r="B163" s="20" t="s">
        <v>51</v>
      </c>
      <c r="C163" s="20"/>
      <c r="D163" s="20"/>
      <c r="E163" s="34"/>
      <c r="F163" s="35"/>
      <c r="G163" s="36" t="s">
        <v>18</v>
      </c>
      <c r="H163" s="55"/>
      <c r="I163" s="38">
        <v>42309</v>
      </c>
      <c r="J163" s="38">
        <v>42356</v>
      </c>
      <c r="K163" s="39"/>
      <c r="L163" s="40"/>
      <c r="M163" s="38">
        <v>42356</v>
      </c>
      <c r="N163" s="36" t="s">
        <v>66</v>
      </c>
    </row>
    <row r="164" spans="1:14" s="24" customFormat="1">
      <c r="A164" s="33">
        <v>12</v>
      </c>
      <c r="B164" s="20" t="s">
        <v>51</v>
      </c>
      <c r="C164" s="20"/>
      <c r="D164" s="20"/>
      <c r="E164" s="34"/>
      <c r="F164" s="35"/>
      <c r="G164" s="36" t="s">
        <v>18</v>
      </c>
      <c r="H164" s="55"/>
      <c r="I164" s="38">
        <v>42309</v>
      </c>
      <c r="J164" s="38">
        <v>42356</v>
      </c>
      <c r="K164" s="39"/>
      <c r="L164" s="40"/>
      <c r="M164" s="38">
        <v>42356</v>
      </c>
      <c r="N164" s="36" t="s">
        <v>66</v>
      </c>
    </row>
    <row r="165" spans="1:14" s="24" customFormat="1">
      <c r="A165" s="33">
        <v>13</v>
      </c>
      <c r="B165" s="20" t="s">
        <v>51</v>
      </c>
      <c r="C165" s="20"/>
      <c r="D165" s="20"/>
      <c r="E165" s="34"/>
      <c r="F165" s="35"/>
      <c r="G165" s="36" t="s">
        <v>18</v>
      </c>
      <c r="H165" s="51" t="s">
        <v>67</v>
      </c>
      <c r="I165" s="38">
        <v>42339</v>
      </c>
      <c r="J165" s="38">
        <v>42356</v>
      </c>
      <c r="K165" s="39"/>
      <c r="L165" s="40"/>
      <c r="M165" s="38">
        <v>42356</v>
      </c>
      <c r="N165" s="36" t="s">
        <v>66</v>
      </c>
    </row>
    <row r="166" spans="1:14" s="24" customFormat="1">
      <c r="A166" s="33">
        <v>14</v>
      </c>
      <c r="B166" s="20" t="s">
        <v>51</v>
      </c>
      <c r="C166" s="20"/>
      <c r="D166" s="20"/>
      <c r="E166" s="34"/>
      <c r="F166" s="35"/>
      <c r="G166" s="36" t="s">
        <v>18</v>
      </c>
      <c r="H166" s="51" t="s">
        <v>67</v>
      </c>
      <c r="I166" s="38">
        <v>42339</v>
      </c>
      <c r="J166" s="38">
        <v>42356</v>
      </c>
      <c r="K166" s="39"/>
      <c r="L166" s="40"/>
      <c r="M166" s="38">
        <v>42356</v>
      </c>
      <c r="N166" s="36" t="s">
        <v>66</v>
      </c>
    </row>
    <row r="167" spans="1:14" s="24" customFormat="1">
      <c r="A167" s="33">
        <v>15</v>
      </c>
      <c r="B167" s="20" t="s">
        <v>51</v>
      </c>
      <c r="C167" s="20"/>
      <c r="D167" s="20"/>
      <c r="E167" s="34"/>
      <c r="F167" s="35"/>
      <c r="G167" s="36" t="s">
        <v>17</v>
      </c>
      <c r="H167" s="51" t="s">
        <v>67</v>
      </c>
      <c r="I167" s="38">
        <v>42339</v>
      </c>
      <c r="J167" s="38">
        <v>42356</v>
      </c>
      <c r="K167" s="39"/>
      <c r="L167" s="40"/>
      <c r="M167" s="38">
        <v>42356</v>
      </c>
      <c r="N167" s="36" t="s">
        <v>66</v>
      </c>
    </row>
    <row r="168" spans="1:14" s="24" customFormat="1">
      <c r="A168" s="33">
        <v>183</v>
      </c>
      <c r="B168" s="20" t="s">
        <v>52</v>
      </c>
      <c r="C168" s="20"/>
      <c r="D168" s="20"/>
      <c r="E168" s="34"/>
      <c r="F168" s="35" t="e">
        <f>#REF!</f>
        <v>#REF!</v>
      </c>
      <c r="G168" s="36"/>
      <c r="H168" s="51" t="s">
        <v>67</v>
      </c>
      <c r="I168" s="52">
        <v>42527</v>
      </c>
      <c r="J168" s="52">
        <v>42529</v>
      </c>
      <c r="K168" s="39"/>
      <c r="L168" s="40"/>
      <c r="M168" s="52">
        <v>42529</v>
      </c>
      <c r="N168" s="36" t="s">
        <v>66</v>
      </c>
    </row>
    <row r="169" spans="1:14" s="24" customFormat="1">
      <c r="A169" s="33">
        <v>184</v>
      </c>
      <c r="B169" s="20" t="s">
        <v>52</v>
      </c>
      <c r="C169" s="20"/>
      <c r="D169" s="20"/>
      <c r="E169" s="34"/>
      <c r="F169" s="35"/>
      <c r="G169" s="36"/>
      <c r="H169" s="51"/>
      <c r="I169" s="52">
        <v>42529</v>
      </c>
      <c r="J169" s="52">
        <v>42529</v>
      </c>
      <c r="K169" s="39"/>
      <c r="L169" s="40"/>
      <c r="M169" s="52">
        <v>42529</v>
      </c>
      <c r="N169" s="36"/>
    </row>
    <row r="170" spans="1:14" s="24" customFormat="1">
      <c r="A170" s="33">
        <v>185</v>
      </c>
      <c r="B170" s="20" t="s">
        <v>52</v>
      </c>
      <c r="C170" s="20"/>
      <c r="D170" s="20"/>
      <c r="E170" s="34"/>
      <c r="F170" s="35">
        <f>A168</f>
        <v>183</v>
      </c>
      <c r="G170" s="36" t="s">
        <v>16</v>
      </c>
      <c r="H170" s="51" t="s">
        <v>67</v>
      </c>
      <c r="I170" s="52">
        <v>42529</v>
      </c>
      <c r="J170" s="52">
        <v>42531</v>
      </c>
      <c r="K170" s="39"/>
      <c r="L170" s="40"/>
      <c r="M170" s="52">
        <v>42531</v>
      </c>
      <c r="N170" s="36" t="s">
        <v>66</v>
      </c>
    </row>
    <row r="171" spans="1:14" s="24" customFormat="1">
      <c r="A171" s="33">
        <v>186</v>
      </c>
      <c r="B171" s="20" t="s">
        <v>52</v>
      </c>
      <c r="C171" s="20"/>
      <c r="D171" s="20"/>
      <c r="E171" s="34"/>
      <c r="F171" s="35">
        <f>A170</f>
        <v>185</v>
      </c>
      <c r="G171" s="36" t="s">
        <v>16</v>
      </c>
      <c r="H171" s="51" t="s">
        <v>67</v>
      </c>
      <c r="I171" s="52">
        <v>42534</v>
      </c>
      <c r="J171" s="52">
        <v>42536</v>
      </c>
      <c r="K171" s="39"/>
      <c r="L171" s="40"/>
      <c r="M171" s="52">
        <v>42536</v>
      </c>
      <c r="N171" s="36" t="s">
        <v>66</v>
      </c>
    </row>
    <row r="172" spans="1:14" s="24" customFormat="1">
      <c r="A172" s="33">
        <v>187</v>
      </c>
      <c r="B172" s="20" t="s">
        <v>52</v>
      </c>
      <c r="C172" s="20"/>
      <c r="D172" s="20"/>
      <c r="E172" s="34"/>
      <c r="F172" s="35">
        <f>A168</f>
        <v>183</v>
      </c>
      <c r="G172" s="36" t="s">
        <v>16</v>
      </c>
      <c r="H172" s="51" t="s">
        <v>67</v>
      </c>
      <c r="I172" s="52">
        <v>42529</v>
      </c>
      <c r="J172" s="52">
        <v>42531</v>
      </c>
      <c r="K172" s="39"/>
      <c r="L172" s="40"/>
      <c r="M172" s="52">
        <v>42531</v>
      </c>
      <c r="N172" s="36" t="s">
        <v>66</v>
      </c>
    </row>
    <row r="173" spans="1:14" s="24" customFormat="1">
      <c r="A173" s="33">
        <v>188</v>
      </c>
      <c r="B173" s="20" t="s">
        <v>52</v>
      </c>
      <c r="C173" s="20"/>
      <c r="D173" s="20"/>
      <c r="E173" s="34"/>
      <c r="F173" s="35">
        <f>A168</f>
        <v>183</v>
      </c>
      <c r="G173" s="36" t="s">
        <v>16</v>
      </c>
      <c r="H173" s="51" t="s">
        <v>67</v>
      </c>
      <c r="I173" s="52">
        <v>42529</v>
      </c>
      <c r="J173" s="52">
        <v>42531</v>
      </c>
      <c r="K173" s="39"/>
      <c r="L173" s="40"/>
      <c r="M173" s="52">
        <v>42531</v>
      </c>
      <c r="N173" s="36" t="s">
        <v>66</v>
      </c>
    </row>
    <row r="174" spans="1:14" s="24" customFormat="1">
      <c r="A174" s="33">
        <v>189</v>
      </c>
      <c r="B174" s="20" t="s">
        <v>52</v>
      </c>
      <c r="C174" s="20"/>
      <c r="D174" s="20"/>
      <c r="E174" s="34"/>
      <c r="F174" s="35">
        <f>A168</f>
        <v>183</v>
      </c>
      <c r="G174" s="36"/>
      <c r="H174" s="51" t="s">
        <v>67</v>
      </c>
      <c r="I174" s="52">
        <v>42529</v>
      </c>
      <c r="J174" s="52">
        <v>42531</v>
      </c>
      <c r="K174" s="39"/>
      <c r="L174" s="40"/>
      <c r="M174" s="52">
        <v>42531</v>
      </c>
      <c r="N174" s="36" t="s">
        <v>66</v>
      </c>
    </row>
    <row r="175" spans="1:14" s="24" customFormat="1">
      <c r="A175" s="33">
        <v>196</v>
      </c>
      <c r="B175" s="20" t="s">
        <v>52</v>
      </c>
      <c r="C175" s="20"/>
      <c r="D175" s="20"/>
      <c r="E175" s="56"/>
      <c r="F175" s="35">
        <f>A168</f>
        <v>183</v>
      </c>
      <c r="G175" s="36"/>
      <c r="H175" s="51" t="s">
        <v>67</v>
      </c>
      <c r="I175" s="52">
        <v>42541</v>
      </c>
      <c r="J175" s="52">
        <v>42543</v>
      </c>
      <c r="K175" s="39"/>
      <c r="L175" s="40"/>
      <c r="M175" s="52">
        <v>42543</v>
      </c>
      <c r="N175" s="36" t="s">
        <v>66</v>
      </c>
    </row>
    <row r="176" spans="1:14" s="24" customFormat="1">
      <c r="A176" s="33">
        <v>197</v>
      </c>
      <c r="B176" s="20" t="s">
        <v>52</v>
      </c>
      <c r="C176" s="20"/>
      <c r="D176" s="20"/>
      <c r="E176" s="56"/>
      <c r="F176" s="35">
        <f>A175</f>
        <v>196</v>
      </c>
      <c r="G176" s="36"/>
      <c r="H176" s="51" t="s">
        <v>67</v>
      </c>
      <c r="I176" s="52">
        <v>42543</v>
      </c>
      <c r="J176" s="52">
        <v>42545</v>
      </c>
      <c r="K176" s="39"/>
      <c r="L176" s="40"/>
      <c r="M176" s="52">
        <v>42545</v>
      </c>
      <c r="N176" s="36" t="s">
        <v>66</v>
      </c>
    </row>
    <row r="177" spans="1:14" s="24" customFormat="1">
      <c r="A177" s="33">
        <v>198</v>
      </c>
      <c r="B177" s="20" t="s">
        <v>52</v>
      </c>
      <c r="C177" s="20"/>
      <c r="D177" s="20"/>
      <c r="E177" s="56"/>
      <c r="F177" s="35">
        <f>A175</f>
        <v>196</v>
      </c>
      <c r="G177" s="36" t="s">
        <v>16</v>
      </c>
      <c r="H177" s="51" t="s">
        <v>67</v>
      </c>
      <c r="I177" s="52">
        <v>42548</v>
      </c>
      <c r="J177" s="52">
        <v>42551</v>
      </c>
      <c r="K177" s="39"/>
      <c r="L177" s="40"/>
      <c r="M177" s="52">
        <v>42551</v>
      </c>
      <c r="N177" s="36" t="s">
        <v>66</v>
      </c>
    </row>
    <row r="178" spans="1:14" s="24" customFormat="1">
      <c r="A178" s="33">
        <v>199</v>
      </c>
      <c r="B178" s="20" t="s">
        <v>52</v>
      </c>
      <c r="C178" s="20"/>
      <c r="D178" s="20"/>
      <c r="E178" s="56"/>
      <c r="F178" s="35">
        <f>A175</f>
        <v>196</v>
      </c>
      <c r="G178" s="36"/>
      <c r="H178" s="51" t="s">
        <v>67</v>
      </c>
      <c r="I178" s="52">
        <v>42543</v>
      </c>
      <c r="J178" s="52">
        <v>42545</v>
      </c>
      <c r="K178" s="39"/>
      <c r="L178" s="40"/>
      <c r="M178" s="52">
        <v>42545</v>
      </c>
      <c r="N178" s="36" t="s">
        <v>66</v>
      </c>
    </row>
    <row r="179" spans="1:14" s="24" customFormat="1">
      <c r="A179" s="33">
        <v>200</v>
      </c>
      <c r="B179" s="20" t="s">
        <v>52</v>
      </c>
      <c r="C179" s="20"/>
      <c r="D179" s="20"/>
      <c r="E179" s="56"/>
      <c r="F179" s="35">
        <f>A175</f>
        <v>196</v>
      </c>
      <c r="G179" s="36"/>
      <c r="H179" s="51" t="s">
        <v>67</v>
      </c>
      <c r="I179" s="52">
        <v>42543</v>
      </c>
      <c r="J179" s="52">
        <v>42545</v>
      </c>
      <c r="K179" s="39"/>
      <c r="L179" s="40"/>
      <c r="M179" s="52">
        <v>42545</v>
      </c>
      <c r="N179" s="36" t="s">
        <v>66</v>
      </c>
    </row>
    <row r="180" spans="1:14" s="24" customFormat="1">
      <c r="A180" s="33">
        <v>201</v>
      </c>
      <c r="B180" s="20" t="s">
        <v>52</v>
      </c>
      <c r="C180" s="20"/>
      <c r="D180" s="20"/>
      <c r="E180" s="56"/>
      <c r="F180" s="35">
        <f>A175</f>
        <v>196</v>
      </c>
      <c r="G180" s="36"/>
      <c r="H180" s="51" t="s">
        <v>67</v>
      </c>
      <c r="I180" s="52">
        <v>42543</v>
      </c>
      <c r="J180" s="52">
        <v>42545</v>
      </c>
      <c r="K180" s="39"/>
      <c r="L180" s="40"/>
      <c r="M180" s="52">
        <v>42545</v>
      </c>
      <c r="N180" s="36" t="s">
        <v>66</v>
      </c>
    </row>
    <row r="181" spans="1:14" s="24" customFormat="1">
      <c r="A181" s="33">
        <v>202</v>
      </c>
      <c r="B181" s="20" t="s">
        <v>52</v>
      </c>
      <c r="C181" s="20"/>
      <c r="D181" s="20"/>
      <c r="E181" s="43"/>
      <c r="F181" s="35"/>
      <c r="G181" s="36" t="s">
        <v>16</v>
      </c>
      <c r="H181" s="51" t="s">
        <v>67</v>
      </c>
      <c r="I181" s="38">
        <v>42514</v>
      </c>
      <c r="J181" s="52">
        <v>42524</v>
      </c>
      <c r="K181" s="39"/>
      <c r="L181" s="40"/>
      <c r="M181" s="52">
        <v>42524</v>
      </c>
      <c r="N181" s="36" t="s">
        <v>66</v>
      </c>
    </row>
    <row r="182" spans="1:14" s="24" customFormat="1">
      <c r="A182" s="33">
        <v>203</v>
      </c>
      <c r="B182" s="20" t="s">
        <v>52</v>
      </c>
      <c r="C182" s="20"/>
      <c r="D182" s="20"/>
      <c r="E182" s="34"/>
      <c r="F182" s="35">
        <f>A180</f>
        <v>201</v>
      </c>
      <c r="G182" s="36" t="s">
        <v>16</v>
      </c>
      <c r="H182" s="51" t="s">
        <v>67</v>
      </c>
      <c r="I182" s="38">
        <v>42548</v>
      </c>
      <c r="J182" s="38">
        <v>42551</v>
      </c>
      <c r="K182" s="39"/>
      <c r="L182" s="40"/>
      <c r="M182" s="38">
        <v>42551</v>
      </c>
      <c r="N182" s="36" t="s">
        <v>66</v>
      </c>
    </row>
    <row r="183" spans="1:14" s="24" customFormat="1">
      <c r="A183" s="33">
        <v>16</v>
      </c>
      <c r="B183" s="20" t="s">
        <v>53</v>
      </c>
      <c r="C183" s="20"/>
      <c r="D183" s="20"/>
      <c r="E183" s="34"/>
      <c r="F183" s="35"/>
      <c r="G183" s="36" t="s">
        <v>18</v>
      </c>
      <c r="H183" s="55"/>
      <c r="I183" s="38">
        <v>42309</v>
      </c>
      <c r="J183" s="38">
        <v>42349</v>
      </c>
      <c r="K183" s="39"/>
      <c r="L183" s="40"/>
      <c r="M183" s="38">
        <v>42349</v>
      </c>
      <c r="N183" s="36" t="s">
        <v>66</v>
      </c>
    </row>
    <row r="184" spans="1:14" s="24" customFormat="1">
      <c r="A184" s="33">
        <v>17</v>
      </c>
      <c r="B184" s="20" t="s">
        <v>53</v>
      </c>
      <c r="C184" s="20"/>
      <c r="D184" s="20"/>
      <c r="E184" s="34"/>
      <c r="F184" s="35"/>
      <c r="G184" s="36" t="s">
        <v>18</v>
      </c>
      <c r="H184" s="55"/>
      <c r="I184" s="38">
        <v>42309</v>
      </c>
      <c r="J184" s="38">
        <v>42349</v>
      </c>
      <c r="K184" s="39"/>
      <c r="L184" s="40"/>
      <c r="M184" s="38">
        <v>42349</v>
      </c>
      <c r="N184" s="36" t="s">
        <v>66</v>
      </c>
    </row>
    <row r="185" spans="1:14" s="24" customFormat="1">
      <c r="A185" s="33">
        <v>18</v>
      </c>
      <c r="B185" s="20" t="s">
        <v>53</v>
      </c>
      <c r="C185" s="20"/>
      <c r="D185" s="20"/>
      <c r="E185" s="34"/>
      <c r="F185" s="35"/>
      <c r="G185" s="36" t="s">
        <v>18</v>
      </c>
      <c r="H185" s="55"/>
      <c r="I185" s="38">
        <v>42309</v>
      </c>
      <c r="J185" s="38">
        <v>42349</v>
      </c>
      <c r="K185" s="39"/>
      <c r="L185" s="40"/>
      <c r="M185" s="38">
        <v>42349</v>
      </c>
      <c r="N185" s="36" t="s">
        <v>66</v>
      </c>
    </row>
    <row r="186" spans="1:14" s="24" customFormat="1">
      <c r="A186" s="33">
        <v>19</v>
      </c>
      <c r="B186" s="20" t="s">
        <v>53</v>
      </c>
      <c r="C186" s="20"/>
      <c r="D186" s="20"/>
      <c r="E186" s="34"/>
      <c r="F186" s="35"/>
      <c r="G186" s="36" t="s">
        <v>18</v>
      </c>
      <c r="H186" s="55"/>
      <c r="I186" s="38">
        <v>42309</v>
      </c>
      <c r="J186" s="38">
        <v>42349</v>
      </c>
      <c r="K186" s="39"/>
      <c r="L186" s="40"/>
      <c r="M186" s="38">
        <v>42349</v>
      </c>
      <c r="N186" s="36" t="s">
        <v>66</v>
      </c>
    </row>
    <row r="187" spans="1:14" s="24" customFormat="1">
      <c r="A187" s="33">
        <v>20</v>
      </c>
      <c r="B187" s="20" t="s">
        <v>53</v>
      </c>
      <c r="C187" s="20"/>
      <c r="D187" s="20"/>
      <c r="E187" s="34"/>
      <c r="F187" s="35"/>
      <c r="G187" s="36" t="s">
        <v>18</v>
      </c>
      <c r="H187" s="55"/>
      <c r="I187" s="38">
        <v>42309</v>
      </c>
      <c r="J187" s="38">
        <v>42349</v>
      </c>
      <c r="K187" s="39"/>
      <c r="L187" s="40"/>
      <c r="M187" s="38">
        <v>42349</v>
      </c>
      <c r="N187" s="36" t="s">
        <v>66</v>
      </c>
    </row>
    <row r="188" spans="1:14" s="24" customFormat="1">
      <c r="A188" s="33">
        <v>21</v>
      </c>
      <c r="B188" s="20" t="s">
        <v>53</v>
      </c>
      <c r="C188" s="20"/>
      <c r="D188" s="20"/>
      <c r="E188" s="34"/>
      <c r="F188" s="35"/>
      <c r="G188" s="36" t="s">
        <v>18</v>
      </c>
      <c r="H188" s="55"/>
      <c r="I188" s="38">
        <v>42309</v>
      </c>
      <c r="J188" s="38">
        <v>42349</v>
      </c>
      <c r="K188" s="39"/>
      <c r="L188" s="40"/>
      <c r="M188" s="38">
        <v>42349</v>
      </c>
      <c r="N188" s="36" t="s">
        <v>66</v>
      </c>
    </row>
    <row r="189" spans="1:14" s="24" customFormat="1">
      <c r="A189" s="33">
        <v>22</v>
      </c>
      <c r="B189" s="20" t="s">
        <v>53</v>
      </c>
      <c r="C189" s="20"/>
      <c r="D189" s="20"/>
      <c r="E189" s="34"/>
      <c r="F189" s="35"/>
      <c r="G189" s="36" t="s">
        <v>18</v>
      </c>
      <c r="H189" s="55"/>
      <c r="I189" s="38">
        <v>42309</v>
      </c>
      <c r="J189" s="38">
        <v>42349</v>
      </c>
      <c r="K189" s="39"/>
      <c r="L189" s="40"/>
      <c r="M189" s="38">
        <v>42349</v>
      </c>
      <c r="N189" s="36" t="s">
        <v>66</v>
      </c>
    </row>
    <row r="190" spans="1:14" s="24" customFormat="1">
      <c r="A190" s="33">
        <v>23</v>
      </c>
      <c r="B190" s="20" t="s">
        <v>53</v>
      </c>
      <c r="C190" s="20"/>
      <c r="D190" s="20"/>
      <c r="E190" s="34"/>
      <c r="F190" s="35"/>
      <c r="G190" s="36" t="s">
        <v>18</v>
      </c>
      <c r="H190" s="55"/>
      <c r="I190" s="38">
        <v>42309</v>
      </c>
      <c r="J190" s="38">
        <v>42349</v>
      </c>
      <c r="K190" s="39"/>
      <c r="L190" s="40"/>
      <c r="M190" s="38">
        <v>42349</v>
      </c>
      <c r="N190" s="36" t="s">
        <v>66</v>
      </c>
    </row>
    <row r="191" spans="1:14" s="24" customFormat="1">
      <c r="A191" s="33">
        <v>24</v>
      </c>
      <c r="B191" s="20" t="s">
        <v>53</v>
      </c>
      <c r="C191" s="20"/>
      <c r="D191" s="20"/>
      <c r="E191" s="34"/>
      <c r="F191" s="35"/>
      <c r="G191" s="36" t="s">
        <v>18</v>
      </c>
      <c r="H191" s="37"/>
      <c r="I191" s="38">
        <v>42309</v>
      </c>
      <c r="J191" s="38">
        <v>42349</v>
      </c>
      <c r="K191" s="39"/>
      <c r="L191" s="40"/>
      <c r="M191" s="38">
        <v>42349</v>
      </c>
      <c r="N191" s="36" t="s">
        <v>66</v>
      </c>
    </row>
    <row r="192" spans="1:14" s="24" customFormat="1">
      <c r="A192" s="33">
        <v>25</v>
      </c>
      <c r="B192" s="20" t="s">
        <v>53</v>
      </c>
      <c r="C192" s="20"/>
      <c r="D192" s="20"/>
      <c r="E192" s="34"/>
      <c r="F192" s="35"/>
      <c r="G192" s="36" t="s">
        <v>18</v>
      </c>
      <c r="H192" s="51" t="s">
        <v>67</v>
      </c>
      <c r="I192" s="38">
        <v>42345</v>
      </c>
      <c r="J192" s="38">
        <v>42348</v>
      </c>
      <c r="K192" s="39"/>
      <c r="L192" s="40"/>
      <c r="M192" s="38">
        <v>42348</v>
      </c>
      <c r="N192" s="36" t="s">
        <v>66</v>
      </c>
    </row>
    <row r="193" spans="1:14" s="24" customFormat="1">
      <c r="A193" s="33">
        <v>26</v>
      </c>
      <c r="B193" s="20" t="s">
        <v>53</v>
      </c>
      <c r="C193" s="20"/>
      <c r="D193" s="20"/>
      <c r="E193" s="34"/>
      <c r="F193" s="35"/>
      <c r="G193" s="36" t="s">
        <v>18</v>
      </c>
      <c r="H193" s="37"/>
      <c r="I193" s="38">
        <v>42348</v>
      </c>
      <c r="J193" s="38">
        <v>42349</v>
      </c>
      <c r="K193" s="39"/>
      <c r="L193" s="40"/>
      <c r="M193" s="38">
        <v>42349</v>
      </c>
      <c r="N193" s="36" t="s">
        <v>66</v>
      </c>
    </row>
    <row r="194" spans="1:14" s="24" customFormat="1">
      <c r="A194" s="33">
        <v>27</v>
      </c>
      <c r="B194" s="20" t="s">
        <v>53</v>
      </c>
      <c r="C194" s="20"/>
      <c r="D194" s="20"/>
      <c r="E194" s="34"/>
      <c r="F194" s="35"/>
      <c r="G194" s="36" t="s">
        <v>18</v>
      </c>
      <c r="H194" s="51" t="s">
        <v>67</v>
      </c>
      <c r="I194" s="38">
        <v>42352</v>
      </c>
      <c r="J194" s="38">
        <v>42355</v>
      </c>
      <c r="K194" s="39"/>
      <c r="L194" s="40"/>
      <c r="M194" s="38">
        <v>42355</v>
      </c>
      <c r="N194" s="36" t="s">
        <v>66</v>
      </c>
    </row>
    <row r="195" spans="1:14" s="24" customFormat="1">
      <c r="A195" s="33">
        <v>28</v>
      </c>
      <c r="B195" s="20" t="s">
        <v>53</v>
      </c>
      <c r="C195" s="20"/>
      <c r="D195" s="20"/>
      <c r="E195" s="34"/>
      <c r="F195" s="35">
        <f>A194</f>
        <v>27</v>
      </c>
      <c r="G195" s="36" t="s">
        <v>18</v>
      </c>
      <c r="H195" s="51" t="s">
        <v>67</v>
      </c>
      <c r="I195" s="38">
        <v>42354</v>
      </c>
      <c r="J195" s="38">
        <v>42356</v>
      </c>
      <c r="K195" s="39"/>
      <c r="L195" s="40"/>
      <c r="M195" s="38">
        <v>42356</v>
      </c>
      <c r="N195" s="36" t="s">
        <v>66</v>
      </c>
    </row>
    <row r="196" spans="1:14" s="24" customFormat="1">
      <c r="A196" s="33">
        <v>29</v>
      </c>
      <c r="B196" s="20" t="s">
        <v>53</v>
      </c>
      <c r="C196" s="20"/>
      <c r="D196" s="20"/>
      <c r="E196" s="34"/>
      <c r="F196" s="35">
        <f>A194</f>
        <v>27</v>
      </c>
      <c r="G196" s="36" t="s">
        <v>18</v>
      </c>
      <c r="H196" s="37"/>
      <c r="I196" s="57">
        <v>42377</v>
      </c>
      <c r="J196" s="57">
        <v>42377</v>
      </c>
      <c r="K196" s="39"/>
      <c r="L196" s="40"/>
      <c r="M196" s="57">
        <v>42377</v>
      </c>
      <c r="N196" s="36" t="s">
        <v>66</v>
      </c>
    </row>
    <row r="197" spans="1:14" s="24" customFormat="1">
      <c r="A197" s="33">
        <v>30</v>
      </c>
      <c r="B197" s="20" t="s">
        <v>53</v>
      </c>
      <c r="C197" s="20"/>
      <c r="D197" s="20"/>
      <c r="E197" s="34"/>
      <c r="F197" s="35">
        <f>A196</f>
        <v>29</v>
      </c>
      <c r="G197" s="36"/>
      <c r="H197" s="37"/>
      <c r="I197" s="38">
        <v>42377</v>
      </c>
      <c r="J197" s="38">
        <v>42377</v>
      </c>
      <c r="K197" s="39"/>
      <c r="L197" s="40"/>
      <c r="M197" s="38">
        <v>42377</v>
      </c>
      <c r="N197" s="36" t="s">
        <v>66</v>
      </c>
    </row>
    <row r="198" spans="1:14" s="24" customFormat="1">
      <c r="A198" s="33">
        <v>32</v>
      </c>
      <c r="B198" s="20" t="s">
        <v>54</v>
      </c>
      <c r="C198" s="20"/>
      <c r="D198" s="20"/>
      <c r="E198" s="34"/>
      <c r="F198" s="35">
        <f>A191</f>
        <v>24</v>
      </c>
      <c r="G198" s="36" t="s">
        <v>16</v>
      </c>
      <c r="H198" s="37"/>
      <c r="I198" s="38">
        <v>42380</v>
      </c>
      <c r="J198" s="38">
        <v>42384</v>
      </c>
      <c r="K198" s="39"/>
      <c r="L198" s="40"/>
      <c r="M198" s="38">
        <v>42460</v>
      </c>
      <c r="N198" s="36" t="s">
        <v>66</v>
      </c>
    </row>
    <row r="199" spans="1:14" s="24" customFormat="1">
      <c r="A199" s="33">
        <v>33</v>
      </c>
      <c r="B199" s="20" t="s">
        <v>54</v>
      </c>
      <c r="C199" s="20"/>
      <c r="D199" s="20"/>
      <c r="E199" s="34"/>
      <c r="F199" s="35">
        <f>$A$56</f>
        <v>113</v>
      </c>
      <c r="G199" s="36" t="s">
        <v>16</v>
      </c>
      <c r="H199" s="37"/>
      <c r="I199" s="38">
        <v>42380</v>
      </c>
      <c r="J199" s="38">
        <v>42384</v>
      </c>
      <c r="K199" s="39"/>
      <c r="L199" s="40"/>
      <c r="M199" s="38">
        <v>42460</v>
      </c>
      <c r="N199" s="36" t="s">
        <v>66</v>
      </c>
    </row>
    <row r="200" spans="1:14" s="24" customFormat="1">
      <c r="A200" s="33">
        <v>34</v>
      </c>
      <c r="B200" s="20" t="s">
        <v>54</v>
      </c>
      <c r="C200" s="20"/>
      <c r="D200" s="20"/>
      <c r="E200" s="34"/>
      <c r="F200" s="35">
        <f>$A$56</f>
        <v>113</v>
      </c>
      <c r="G200" s="36"/>
      <c r="H200" s="37"/>
      <c r="I200" s="38">
        <v>42380</v>
      </c>
      <c r="J200" s="38">
        <v>42384</v>
      </c>
      <c r="K200" s="39"/>
      <c r="L200" s="40"/>
      <c r="M200" s="38">
        <v>42460</v>
      </c>
      <c r="N200" s="36" t="s">
        <v>66</v>
      </c>
    </row>
    <row r="201" spans="1:14" s="24" customFormat="1">
      <c r="A201" s="33">
        <v>35</v>
      </c>
      <c r="B201" s="20" t="s">
        <v>54</v>
      </c>
      <c r="C201" s="20"/>
      <c r="D201" s="20"/>
      <c r="E201" s="34"/>
      <c r="F201" s="35">
        <f>$A$56</f>
        <v>113</v>
      </c>
      <c r="G201" s="36"/>
      <c r="H201" s="37"/>
      <c r="I201" s="38">
        <v>42380</v>
      </c>
      <c r="J201" s="38">
        <v>42384</v>
      </c>
      <c r="K201" s="39"/>
      <c r="L201" s="40"/>
      <c r="M201" s="38">
        <v>42460</v>
      </c>
      <c r="N201" s="36" t="s">
        <v>66</v>
      </c>
    </row>
    <row r="202" spans="1:14" s="24" customFormat="1">
      <c r="A202" s="33">
        <v>36</v>
      </c>
      <c r="B202" s="20" t="s">
        <v>54</v>
      </c>
      <c r="C202" s="20"/>
      <c r="D202" s="20"/>
      <c r="E202" s="34"/>
      <c r="F202" s="35">
        <f>$A$56</f>
        <v>113</v>
      </c>
      <c r="G202" s="36"/>
      <c r="H202" s="37"/>
      <c r="I202" s="38">
        <v>42380</v>
      </c>
      <c r="J202" s="38">
        <v>42384</v>
      </c>
      <c r="K202" s="39"/>
      <c r="L202" s="40"/>
      <c r="M202" s="38">
        <v>42460</v>
      </c>
      <c r="N202" s="36" t="s">
        <v>66</v>
      </c>
    </row>
    <row r="203" spans="1:14" s="24" customFormat="1">
      <c r="A203" s="33">
        <v>43</v>
      </c>
      <c r="B203" s="20" t="s">
        <v>54</v>
      </c>
      <c r="C203" s="20"/>
      <c r="D203" s="20"/>
      <c r="E203" s="34"/>
      <c r="F203" s="35">
        <f>A202</f>
        <v>36</v>
      </c>
      <c r="G203" s="36" t="s">
        <v>16</v>
      </c>
      <c r="H203" s="37"/>
      <c r="I203" s="57">
        <v>42403</v>
      </c>
      <c r="J203" s="57">
        <v>42403</v>
      </c>
      <c r="K203" s="39"/>
      <c r="L203" s="40"/>
      <c r="M203" s="57">
        <v>42403</v>
      </c>
      <c r="N203" s="36" t="s">
        <v>66</v>
      </c>
    </row>
    <row r="204" spans="1:14" s="24" customFormat="1">
      <c r="A204" s="33">
        <v>46</v>
      </c>
      <c r="B204" s="20" t="s">
        <v>54</v>
      </c>
      <c r="C204" s="20"/>
      <c r="D204" s="20"/>
      <c r="E204" s="34"/>
      <c r="F204" s="35">
        <f>A203</f>
        <v>43</v>
      </c>
      <c r="G204" s="36" t="s">
        <v>16</v>
      </c>
      <c r="H204" s="51" t="s">
        <v>67</v>
      </c>
      <c r="I204" s="38">
        <v>42403</v>
      </c>
      <c r="J204" s="38">
        <v>42405</v>
      </c>
      <c r="K204" s="39"/>
      <c r="L204" s="40"/>
      <c r="M204" s="38">
        <v>42405</v>
      </c>
      <c r="N204" s="36" t="s">
        <v>66</v>
      </c>
    </row>
    <row r="205" spans="1:14" s="24" customFormat="1">
      <c r="A205" s="33">
        <v>49</v>
      </c>
      <c r="B205" s="20" t="s">
        <v>54</v>
      </c>
      <c r="C205" s="20"/>
      <c r="D205" s="20"/>
      <c r="E205" s="34"/>
      <c r="F205" s="35">
        <f>A204</f>
        <v>46</v>
      </c>
      <c r="G205" s="36" t="s">
        <v>16</v>
      </c>
      <c r="H205" s="51" t="s">
        <v>67</v>
      </c>
      <c r="I205" s="38">
        <v>42416</v>
      </c>
      <c r="J205" s="38">
        <v>42423</v>
      </c>
      <c r="K205" s="39"/>
      <c r="L205" s="40"/>
      <c r="M205" s="38">
        <v>42423</v>
      </c>
      <c r="N205" s="36" t="s">
        <v>66</v>
      </c>
    </row>
    <row r="206" spans="1:14" s="24" customFormat="1">
      <c r="A206" s="33">
        <v>50</v>
      </c>
      <c r="B206" s="20" t="s">
        <v>54</v>
      </c>
      <c r="C206" s="20"/>
      <c r="D206" s="20"/>
      <c r="E206" s="34"/>
      <c r="F206" s="35">
        <f>A205</f>
        <v>49</v>
      </c>
      <c r="G206" s="36" t="s">
        <v>16</v>
      </c>
      <c r="H206" s="37"/>
      <c r="I206" s="57">
        <v>42416</v>
      </c>
      <c r="J206" s="57">
        <v>42416</v>
      </c>
      <c r="K206" s="39"/>
      <c r="L206" s="40"/>
      <c r="M206" s="57">
        <v>42416</v>
      </c>
      <c r="N206" s="36" t="s">
        <v>66</v>
      </c>
    </row>
    <row r="207" spans="1:14" s="24" customFormat="1">
      <c r="A207" s="33">
        <v>51</v>
      </c>
      <c r="B207" s="20" t="s">
        <v>54</v>
      </c>
      <c r="C207" s="20"/>
      <c r="D207" s="20"/>
      <c r="E207" s="34"/>
      <c r="F207" s="35">
        <f>A206</f>
        <v>50</v>
      </c>
      <c r="G207" s="36" t="s">
        <v>16</v>
      </c>
      <c r="H207" s="37"/>
      <c r="I207" s="38">
        <v>42416</v>
      </c>
      <c r="J207" s="38">
        <v>42416</v>
      </c>
      <c r="K207" s="39"/>
      <c r="L207" s="40"/>
      <c r="M207" s="38">
        <v>42416</v>
      </c>
      <c r="N207" s="36" t="s">
        <v>66</v>
      </c>
    </row>
    <row r="208" spans="1:14" s="24" customFormat="1">
      <c r="A208" s="33">
        <v>52</v>
      </c>
      <c r="B208" s="20" t="s">
        <v>54</v>
      </c>
      <c r="C208" s="20"/>
      <c r="D208" s="20"/>
      <c r="E208" s="34"/>
      <c r="F208" s="35">
        <f>A206</f>
        <v>50</v>
      </c>
      <c r="G208" s="36" t="s">
        <v>16</v>
      </c>
      <c r="H208" s="37"/>
      <c r="I208" s="57">
        <v>42423</v>
      </c>
      <c r="J208" s="57">
        <v>42423</v>
      </c>
      <c r="K208" s="39"/>
      <c r="L208" s="40"/>
      <c r="M208" s="57">
        <v>42423</v>
      </c>
      <c r="N208" s="36" t="s">
        <v>66</v>
      </c>
    </row>
    <row r="209" spans="1:14" s="24" customFormat="1">
      <c r="A209" s="33">
        <v>53</v>
      </c>
      <c r="B209" s="20" t="s">
        <v>54</v>
      </c>
      <c r="C209" s="20"/>
      <c r="D209" s="20"/>
      <c r="E209" s="34"/>
      <c r="F209" s="35">
        <f>A208</f>
        <v>52</v>
      </c>
      <c r="G209" s="36" t="s">
        <v>16</v>
      </c>
      <c r="H209" s="51" t="s">
        <v>67</v>
      </c>
      <c r="I209" s="38">
        <v>42426</v>
      </c>
      <c r="J209" s="38">
        <v>42426</v>
      </c>
      <c r="K209" s="39"/>
      <c r="L209" s="40"/>
      <c r="M209" s="38">
        <v>42426</v>
      </c>
      <c r="N209" s="36" t="s">
        <v>66</v>
      </c>
    </row>
    <row r="210" spans="1:14" s="24" customFormat="1">
      <c r="A210" s="33">
        <v>59</v>
      </c>
      <c r="B210" s="20" t="s">
        <v>54</v>
      </c>
      <c r="C210" s="20"/>
      <c r="D210" s="20"/>
      <c r="E210" s="34"/>
      <c r="F210" s="35">
        <f>A209</f>
        <v>53</v>
      </c>
      <c r="G210" s="36" t="s">
        <v>16</v>
      </c>
      <c r="H210" s="51" t="s">
        <v>67</v>
      </c>
      <c r="I210" s="38">
        <v>42440</v>
      </c>
      <c r="J210" s="38">
        <v>42440</v>
      </c>
      <c r="K210" s="39"/>
      <c r="L210" s="40"/>
      <c r="M210" s="38">
        <v>42426</v>
      </c>
      <c r="N210" s="36" t="s">
        <v>66</v>
      </c>
    </row>
    <row r="211" spans="1:14" s="24" customFormat="1">
      <c r="A211" s="33">
        <v>31</v>
      </c>
      <c r="B211" s="20" t="s">
        <v>55</v>
      </c>
      <c r="C211" s="20"/>
      <c r="D211" s="20"/>
      <c r="E211" s="34"/>
      <c r="F211" s="35">
        <f>A209</f>
        <v>53</v>
      </c>
      <c r="G211" s="36" t="s">
        <v>16</v>
      </c>
      <c r="H211" s="51" t="s">
        <v>67</v>
      </c>
      <c r="I211" s="38">
        <v>42377</v>
      </c>
      <c r="J211" s="38">
        <v>42380</v>
      </c>
      <c r="K211" s="39"/>
      <c r="L211" s="40"/>
      <c r="M211" s="38">
        <v>42380</v>
      </c>
      <c r="N211" s="36" t="s">
        <v>66</v>
      </c>
    </row>
    <row r="212" spans="1:14" s="24" customFormat="1">
      <c r="A212" s="33">
        <v>37</v>
      </c>
      <c r="B212" s="20" t="s">
        <v>55</v>
      </c>
      <c r="C212" s="20"/>
      <c r="D212" s="20"/>
      <c r="E212" s="34"/>
      <c r="F212" s="35">
        <f>A204</f>
        <v>46</v>
      </c>
      <c r="G212" s="36" t="s">
        <v>16</v>
      </c>
      <c r="H212" s="51" t="s">
        <v>67</v>
      </c>
      <c r="I212" s="38">
        <v>42380</v>
      </c>
      <c r="J212" s="38">
        <v>42391</v>
      </c>
      <c r="K212" s="39"/>
      <c r="L212" s="40"/>
      <c r="M212" s="38">
        <v>42391</v>
      </c>
      <c r="N212" s="36" t="s">
        <v>66</v>
      </c>
    </row>
    <row r="213" spans="1:14" s="24" customFormat="1">
      <c r="A213" s="33">
        <v>38</v>
      </c>
      <c r="B213" s="20" t="s">
        <v>55</v>
      </c>
      <c r="C213" s="20"/>
      <c r="D213" s="20"/>
      <c r="E213" s="34"/>
      <c r="F213" s="35">
        <f>A212</f>
        <v>37</v>
      </c>
      <c r="G213" s="36"/>
      <c r="H213" s="51" t="s">
        <v>67</v>
      </c>
      <c r="I213" s="38">
        <v>42394</v>
      </c>
      <c r="J213" s="38">
        <v>42398</v>
      </c>
      <c r="K213" s="39"/>
      <c r="L213" s="40"/>
      <c r="M213" s="38">
        <v>42398</v>
      </c>
      <c r="N213" s="36" t="s">
        <v>66</v>
      </c>
    </row>
    <row r="214" spans="1:14" s="24" customFormat="1">
      <c r="A214" s="33">
        <v>39</v>
      </c>
      <c r="B214" s="20" t="s">
        <v>55</v>
      </c>
      <c r="C214" s="20"/>
      <c r="D214" s="20"/>
      <c r="E214" s="34"/>
      <c r="F214" s="35">
        <f>A204</f>
        <v>46</v>
      </c>
      <c r="G214" s="36" t="s">
        <v>16</v>
      </c>
      <c r="H214" s="51" t="s">
        <v>67</v>
      </c>
      <c r="I214" s="38">
        <v>42377</v>
      </c>
      <c r="J214" s="38">
        <v>42391</v>
      </c>
      <c r="K214" s="39"/>
      <c r="L214" s="40"/>
      <c r="M214" s="38">
        <v>42391</v>
      </c>
      <c r="N214" s="36" t="s">
        <v>66</v>
      </c>
    </row>
    <row r="215" spans="1:14" s="24" customFormat="1">
      <c r="A215" s="33">
        <v>40</v>
      </c>
      <c r="B215" s="20" t="s">
        <v>55</v>
      </c>
      <c r="C215" s="20"/>
      <c r="D215" s="20"/>
      <c r="E215" s="34"/>
      <c r="F215" s="35">
        <f>A204</f>
        <v>46</v>
      </c>
      <c r="G215" s="36" t="s">
        <v>16</v>
      </c>
      <c r="H215" s="51" t="s">
        <v>67</v>
      </c>
      <c r="I215" s="38">
        <v>42380</v>
      </c>
      <c r="J215" s="38">
        <v>42423</v>
      </c>
      <c r="K215" s="39"/>
      <c r="L215" s="40"/>
      <c r="M215" s="38">
        <v>42423</v>
      </c>
      <c r="N215" s="36" t="s">
        <v>66</v>
      </c>
    </row>
    <row r="216" spans="1:14" s="24" customFormat="1">
      <c r="A216" s="33">
        <v>41</v>
      </c>
      <c r="B216" s="20" t="s">
        <v>55</v>
      </c>
      <c r="C216" s="20"/>
      <c r="D216" s="20"/>
      <c r="E216" s="34"/>
      <c r="F216" s="35">
        <f>A214</f>
        <v>39</v>
      </c>
      <c r="G216" s="36" t="s">
        <v>16</v>
      </c>
      <c r="H216" s="51" t="s">
        <v>67</v>
      </c>
      <c r="I216" s="38">
        <v>42391</v>
      </c>
      <c r="J216" s="38">
        <v>42398</v>
      </c>
      <c r="K216" s="39"/>
      <c r="L216" s="40"/>
      <c r="M216" s="38">
        <v>42398</v>
      </c>
      <c r="N216" s="36" t="s">
        <v>66</v>
      </c>
    </row>
    <row r="217" spans="1:14" s="24" customFormat="1">
      <c r="A217" s="33">
        <v>42</v>
      </c>
      <c r="B217" s="20" t="s">
        <v>55</v>
      </c>
      <c r="C217" s="20"/>
      <c r="D217" s="20"/>
      <c r="E217" s="34"/>
      <c r="F217" s="35">
        <f>A216</f>
        <v>41</v>
      </c>
      <c r="G217" s="36" t="s">
        <v>16</v>
      </c>
      <c r="H217" s="37"/>
      <c r="I217" s="38">
        <v>42401</v>
      </c>
      <c r="J217" s="38">
        <v>42405</v>
      </c>
      <c r="K217" s="39"/>
      <c r="L217" s="40"/>
      <c r="M217" s="38">
        <v>42405</v>
      </c>
      <c r="N217" s="36" t="s">
        <v>66</v>
      </c>
    </row>
    <row r="218" spans="1:14" s="24" customFormat="1">
      <c r="A218" s="33">
        <v>44</v>
      </c>
      <c r="B218" s="20" t="s">
        <v>55</v>
      </c>
      <c r="C218" s="20"/>
      <c r="D218" s="20"/>
      <c r="E218" s="34"/>
      <c r="F218" s="35">
        <f>A217</f>
        <v>42</v>
      </c>
      <c r="G218" s="36" t="s">
        <v>16</v>
      </c>
      <c r="H218" s="51" t="s">
        <v>67</v>
      </c>
      <c r="I218" s="38">
        <v>42403</v>
      </c>
      <c r="J218" s="38">
        <v>42405</v>
      </c>
      <c r="K218" s="39"/>
      <c r="L218" s="40"/>
      <c r="M218" s="38">
        <v>42405</v>
      </c>
      <c r="N218" s="36" t="s">
        <v>66</v>
      </c>
    </row>
    <row r="219" spans="1:14" s="24" customFormat="1">
      <c r="A219" s="33">
        <v>45</v>
      </c>
      <c r="B219" s="20" t="s">
        <v>55</v>
      </c>
      <c r="C219" s="20"/>
      <c r="D219" s="20"/>
      <c r="E219" s="34"/>
      <c r="F219" s="35">
        <f>A218</f>
        <v>44</v>
      </c>
      <c r="G219" s="36" t="s">
        <v>17</v>
      </c>
      <c r="H219" s="51"/>
      <c r="I219" s="38"/>
      <c r="J219" s="38"/>
      <c r="K219" s="39"/>
      <c r="L219" s="40"/>
      <c r="M219" s="38"/>
      <c r="N219" s="36" t="s">
        <v>66</v>
      </c>
    </row>
    <row r="220" spans="1:14" s="24" customFormat="1">
      <c r="A220" s="33">
        <v>47</v>
      </c>
      <c r="B220" s="20" t="s">
        <v>55</v>
      </c>
      <c r="C220" s="20"/>
      <c r="D220" s="20"/>
      <c r="E220" s="34"/>
      <c r="F220" s="35">
        <f>A217</f>
        <v>42</v>
      </c>
      <c r="G220" s="36" t="s">
        <v>16</v>
      </c>
      <c r="H220" s="51" t="s">
        <v>67</v>
      </c>
      <c r="I220" s="38">
        <v>42403</v>
      </c>
      <c r="J220" s="38">
        <v>42404</v>
      </c>
      <c r="K220" s="39"/>
      <c r="L220" s="40"/>
      <c r="M220" s="38">
        <v>42404</v>
      </c>
      <c r="N220" s="36" t="s">
        <v>66</v>
      </c>
    </row>
    <row r="221" spans="1:14" s="24" customFormat="1">
      <c r="A221" s="33">
        <v>48</v>
      </c>
      <c r="B221" s="20" t="s">
        <v>55</v>
      </c>
      <c r="C221" s="20"/>
      <c r="D221" s="20"/>
      <c r="E221" s="34"/>
      <c r="F221" s="35">
        <f>A217</f>
        <v>42</v>
      </c>
      <c r="G221" s="36" t="s">
        <v>16</v>
      </c>
      <c r="H221" s="51" t="s">
        <v>67</v>
      </c>
      <c r="I221" s="38">
        <v>42404</v>
      </c>
      <c r="J221" s="38">
        <v>42423</v>
      </c>
      <c r="K221" s="39"/>
      <c r="L221" s="40"/>
      <c r="M221" s="38">
        <v>42423</v>
      </c>
      <c r="N221" s="36" t="s">
        <v>66</v>
      </c>
    </row>
    <row r="222" spans="1:14" s="24" customFormat="1">
      <c r="A222" s="33">
        <v>54</v>
      </c>
      <c r="B222" s="20" t="s">
        <v>55</v>
      </c>
      <c r="C222" s="20"/>
      <c r="D222" s="20"/>
      <c r="E222" s="34"/>
      <c r="F222" s="35">
        <f>A216</f>
        <v>41</v>
      </c>
      <c r="G222" s="36"/>
      <c r="H222" s="51" t="s">
        <v>67</v>
      </c>
      <c r="I222" s="38">
        <v>42415</v>
      </c>
      <c r="J222" s="38">
        <v>42422</v>
      </c>
      <c r="K222" s="39"/>
      <c r="L222" s="40"/>
      <c r="M222" s="38">
        <v>42422</v>
      </c>
      <c r="N222" s="36" t="s">
        <v>66</v>
      </c>
    </row>
    <row r="223" spans="1:14" s="24" customFormat="1">
      <c r="A223" s="33">
        <v>55</v>
      </c>
      <c r="B223" s="20" t="s">
        <v>55</v>
      </c>
      <c r="C223" s="20"/>
      <c r="D223" s="20"/>
      <c r="E223" s="34"/>
      <c r="F223" s="35">
        <f>A213</f>
        <v>38</v>
      </c>
      <c r="G223" s="36" t="s">
        <v>16</v>
      </c>
      <c r="H223" s="51" t="s">
        <v>67</v>
      </c>
      <c r="I223" s="38">
        <v>42422</v>
      </c>
      <c r="J223" s="38">
        <v>42433</v>
      </c>
      <c r="K223" s="39"/>
      <c r="L223" s="40"/>
      <c r="M223" s="38">
        <v>42433</v>
      </c>
      <c r="N223" s="36" t="s">
        <v>66</v>
      </c>
    </row>
    <row r="224" spans="1:14" s="24" customFormat="1">
      <c r="A224" s="33">
        <v>56</v>
      </c>
      <c r="B224" s="20" t="s">
        <v>55</v>
      </c>
      <c r="C224" s="20"/>
      <c r="D224" s="20"/>
      <c r="E224" s="34"/>
      <c r="F224" s="35">
        <f>A214</f>
        <v>39</v>
      </c>
      <c r="G224" s="36" t="s">
        <v>16</v>
      </c>
      <c r="H224" s="51" t="s">
        <v>67</v>
      </c>
      <c r="I224" s="38">
        <v>42422</v>
      </c>
      <c r="J224" s="38">
        <v>42426</v>
      </c>
      <c r="K224" s="39"/>
      <c r="L224" s="40"/>
      <c r="M224" s="38">
        <v>42426</v>
      </c>
      <c r="N224" s="36" t="s">
        <v>66</v>
      </c>
    </row>
    <row r="225" spans="1:14" s="24" customFormat="1" ht="15" customHeight="1">
      <c r="A225" s="33">
        <v>57</v>
      </c>
      <c r="B225" s="20" t="s">
        <v>55</v>
      </c>
      <c r="C225" s="20"/>
      <c r="D225" s="20"/>
      <c r="E225" s="34"/>
      <c r="F225" s="35">
        <f>A212</f>
        <v>37</v>
      </c>
      <c r="G225" s="36" t="s">
        <v>17</v>
      </c>
      <c r="H225" s="51" t="s">
        <v>67</v>
      </c>
      <c r="I225" s="38">
        <v>42422</v>
      </c>
      <c r="J225" s="38"/>
      <c r="K225" s="39"/>
      <c r="L225" s="40"/>
      <c r="M225" s="38"/>
      <c r="N225" s="36" t="s">
        <v>66</v>
      </c>
    </row>
    <row r="226" spans="1:14" s="24" customFormat="1" ht="15" customHeight="1">
      <c r="A226" s="33">
        <v>58</v>
      </c>
      <c r="B226" s="20" t="s">
        <v>55</v>
      </c>
      <c r="C226" s="20"/>
      <c r="D226" s="20"/>
      <c r="E226" s="34"/>
      <c r="F226" s="35">
        <f>A215</f>
        <v>40</v>
      </c>
      <c r="G226" s="36" t="s">
        <v>16</v>
      </c>
      <c r="H226" s="51" t="s">
        <v>67</v>
      </c>
      <c r="I226" s="38">
        <v>42433</v>
      </c>
      <c r="J226" s="38">
        <v>42439</v>
      </c>
      <c r="K226" s="39"/>
      <c r="L226" s="40"/>
      <c r="M226" s="38">
        <v>42426</v>
      </c>
      <c r="N226" s="36" t="s">
        <v>66</v>
      </c>
    </row>
    <row r="231" spans="1:14">
      <c r="E231" s="59"/>
    </row>
    <row r="232" spans="1:14">
      <c r="E232" s="59"/>
      <c r="I232" s="62"/>
    </row>
    <row r="233" spans="1:14">
      <c r="I233" s="62"/>
    </row>
  </sheetData>
  <autoFilter ref="A3:N3" xr:uid="{00000000-0009-0000-0000-000007000000}">
    <sortState xmlns:xlrd2="http://schemas.microsoft.com/office/spreadsheetml/2017/richdata2" ref="A4:N226">
      <sortCondition ref="B3"/>
    </sortState>
  </autoFilter>
  <phoneticPr fontId="5" type="noConversion"/>
  <conditionalFormatting sqref="I81:J81 I55:J55 I74:I75 I102:J102 I103 J154:J158 I206:J207 I131:I134 I162:J164 I216:J226 I159:J159 I149:J153 I63:J73 J178:J184 J186 I4:J15 I19:J34 I40:J53 M40:M53">
    <cfRule type="cellIs" dxfId="574" priority="572" operator="equal">
      <formula>""</formula>
    </cfRule>
  </conditionalFormatting>
  <conditionalFormatting sqref="G183:G184 G120:G122 G191:G198 G203:G217 G221:G226 G131:G134 G186:G189 G110:G116 G200:G201 G149:G158 G89:G103 G124:G126 G63:G81 G136:G139 G162:G178 G40:G56 G4:G34">
    <cfRule type="containsText" dxfId="573" priority="568" operator="containsText" text="Require attention">
      <formula>NOT(ISERROR(SEARCH("Require attention",G4)))</formula>
    </cfRule>
    <cfRule type="containsText" dxfId="572" priority="569" operator="containsText" text="On Track">
      <formula>NOT(ISERROR(SEARCH("On Track",G4)))</formula>
    </cfRule>
    <cfRule type="containsText" dxfId="571" priority="570" operator="containsText" text="Completed">
      <formula>NOT(ISERROR(SEARCH("Completed",G4)))</formula>
    </cfRule>
    <cfRule type="containsBlanks" dxfId="570" priority="571">
      <formula>LEN(TRIM(G4))=0</formula>
    </cfRule>
  </conditionalFormatting>
  <conditionalFormatting sqref="G183:G184 G120:G122 G191:G198 G203:G217 G221:G226 G131:G134 G186:G189 G110:G116 G200:G201 G149:G158 G89:G103 G124:G126 G63:G81 G136:G139 G162:G178 G40:G56 G4:G34">
    <cfRule type="containsText" dxfId="569" priority="567" operator="containsText" text="Not started">
      <formula>NOT(ISERROR(SEARCH("Not started",G4)))</formula>
    </cfRule>
  </conditionalFormatting>
  <conditionalFormatting sqref="I52:J52">
    <cfRule type="cellIs" dxfId="568" priority="566" operator="equal">
      <formula>""</formula>
    </cfRule>
  </conditionalFormatting>
  <conditionalFormatting sqref="J98 I99 J191:J198">
    <cfRule type="cellIs" dxfId="567" priority="565" operator="equal">
      <formula>""</formula>
    </cfRule>
  </conditionalFormatting>
  <conditionalFormatting sqref="I178">
    <cfRule type="cellIs" dxfId="566" priority="564" operator="equal">
      <formula>""</formula>
    </cfRule>
  </conditionalFormatting>
  <conditionalFormatting sqref="J95">
    <cfRule type="cellIs" dxfId="565" priority="563" operator="equal">
      <formula>""</formula>
    </cfRule>
  </conditionalFormatting>
  <conditionalFormatting sqref="I95">
    <cfRule type="cellIs" dxfId="564" priority="562" operator="equal">
      <formula>""</formula>
    </cfRule>
  </conditionalFormatting>
  <conditionalFormatting sqref="J183:J184">
    <cfRule type="cellIs" dxfId="563" priority="561" operator="equal">
      <formula>""</formula>
    </cfRule>
  </conditionalFormatting>
  <conditionalFormatting sqref="J112">
    <cfRule type="cellIs" dxfId="562" priority="560" operator="equal">
      <formula>""</formula>
    </cfRule>
  </conditionalFormatting>
  <conditionalFormatting sqref="I16:I18">
    <cfRule type="cellIs" dxfId="561" priority="559" operator="equal">
      <formula>""</formula>
    </cfRule>
  </conditionalFormatting>
  <conditionalFormatting sqref="I56">
    <cfRule type="cellIs" dxfId="560" priority="558" operator="equal">
      <formula>""</formula>
    </cfRule>
  </conditionalFormatting>
  <conditionalFormatting sqref="J116">
    <cfRule type="cellIs" dxfId="559" priority="557" operator="equal">
      <formula>""</formula>
    </cfRule>
  </conditionalFormatting>
  <conditionalFormatting sqref="I82:I86">
    <cfRule type="cellIs" dxfId="558" priority="556" operator="equal">
      <formula>""</formula>
    </cfRule>
  </conditionalFormatting>
  <conditionalFormatting sqref="G82:G86">
    <cfRule type="containsText" dxfId="557" priority="552" operator="containsText" text="Require attention">
      <formula>NOT(ISERROR(SEARCH("Require attention",G82)))</formula>
    </cfRule>
    <cfRule type="containsText" dxfId="556" priority="553" operator="containsText" text="On Track">
      <formula>NOT(ISERROR(SEARCH("On Track",G82)))</formula>
    </cfRule>
    <cfRule type="containsText" dxfId="555" priority="554" operator="containsText" text="Completed">
      <formula>NOT(ISERROR(SEARCH("Completed",G82)))</formula>
    </cfRule>
    <cfRule type="containsBlanks" dxfId="554" priority="555">
      <formula>LEN(TRIM(G82))=0</formula>
    </cfRule>
  </conditionalFormatting>
  <conditionalFormatting sqref="G82:G86">
    <cfRule type="containsText" dxfId="553" priority="551" operator="containsText" text="Not started">
      <formula>NOT(ISERROR(SEARCH("Not started",G82)))</formula>
    </cfRule>
  </conditionalFormatting>
  <conditionalFormatting sqref="J56">
    <cfRule type="cellIs" dxfId="552" priority="550" operator="equal">
      <formula>""</formula>
    </cfRule>
  </conditionalFormatting>
  <conditionalFormatting sqref="J179:J182">
    <cfRule type="cellIs" dxfId="551" priority="549" operator="equal">
      <formula>""</formula>
    </cfRule>
  </conditionalFormatting>
  <conditionalFormatting sqref="I56">
    <cfRule type="cellIs" dxfId="550" priority="548" operator="equal">
      <formula>""</formula>
    </cfRule>
  </conditionalFormatting>
  <conditionalFormatting sqref="J56">
    <cfRule type="cellIs" dxfId="549" priority="547" operator="equal">
      <formula>""</formula>
    </cfRule>
  </conditionalFormatting>
  <conditionalFormatting sqref="I179:I182">
    <cfRule type="cellIs" dxfId="548" priority="546" operator="equal">
      <formula>""</formula>
    </cfRule>
  </conditionalFormatting>
  <conditionalFormatting sqref="G179:G182">
    <cfRule type="containsText" dxfId="547" priority="542" operator="containsText" text="Require attention">
      <formula>NOT(ISERROR(SEARCH("Require attention",G179)))</formula>
    </cfRule>
    <cfRule type="containsText" dxfId="546" priority="543" operator="containsText" text="On Track">
      <formula>NOT(ISERROR(SEARCH("On Track",G179)))</formula>
    </cfRule>
    <cfRule type="containsText" dxfId="545" priority="544" operator="containsText" text="Completed">
      <formula>NOT(ISERROR(SEARCH("Completed",G179)))</formula>
    </cfRule>
    <cfRule type="containsBlanks" dxfId="544" priority="545">
      <formula>LEN(TRIM(G179))=0</formula>
    </cfRule>
  </conditionalFormatting>
  <conditionalFormatting sqref="G179:G182">
    <cfRule type="containsText" dxfId="543" priority="541" operator="containsText" text="Not started">
      <formula>NOT(ISERROR(SEARCH("Not started",G179)))</formula>
    </cfRule>
  </conditionalFormatting>
  <conditionalFormatting sqref="G129:G130">
    <cfRule type="containsText" dxfId="542" priority="537" operator="containsText" text="Require attention">
      <formula>NOT(ISERROR(SEARCH("Require attention",G129)))</formula>
    </cfRule>
    <cfRule type="containsText" dxfId="541" priority="538" operator="containsText" text="On Track">
      <formula>NOT(ISERROR(SEARCH("On Track",G129)))</formula>
    </cfRule>
    <cfRule type="containsText" dxfId="540" priority="539" operator="containsText" text="Completed">
      <formula>NOT(ISERROR(SEARCH("Completed",G129)))</formula>
    </cfRule>
    <cfRule type="containsBlanks" dxfId="539" priority="540">
      <formula>LEN(TRIM(G129))=0</formula>
    </cfRule>
  </conditionalFormatting>
  <conditionalFormatting sqref="G129:G130">
    <cfRule type="containsText" dxfId="538" priority="536" operator="containsText" text="Not started">
      <formula>NOT(ISERROR(SEARCH("Not started",G129)))</formula>
    </cfRule>
  </conditionalFormatting>
  <conditionalFormatting sqref="J186 J129 J170:J173 J166:J168">
    <cfRule type="cellIs" dxfId="537" priority="535" operator="equal">
      <formula>""</formula>
    </cfRule>
  </conditionalFormatting>
  <conditionalFormatting sqref="J54">
    <cfRule type="cellIs" dxfId="536" priority="534" operator="equal">
      <formula>""</formula>
    </cfRule>
  </conditionalFormatting>
  <conditionalFormatting sqref="J75">
    <cfRule type="cellIs" dxfId="535" priority="533" operator="equal">
      <formula>""</formula>
    </cfRule>
  </conditionalFormatting>
  <conditionalFormatting sqref="I129:I130 I178:I182">
    <cfRule type="cellIs" dxfId="534" priority="532" operator="equal">
      <formula>""</formula>
    </cfRule>
  </conditionalFormatting>
  <conditionalFormatting sqref="J51">
    <cfRule type="cellIs" dxfId="533" priority="531" operator="equal">
      <formula>""</formula>
    </cfRule>
  </conditionalFormatting>
  <conditionalFormatting sqref="J74">
    <cfRule type="cellIs" dxfId="532" priority="530" operator="equal">
      <formula>""</formula>
    </cfRule>
  </conditionalFormatting>
  <conditionalFormatting sqref="J54">
    <cfRule type="cellIs" dxfId="531" priority="529" operator="equal">
      <formula>""</formula>
    </cfRule>
  </conditionalFormatting>
  <conditionalFormatting sqref="J77">
    <cfRule type="cellIs" dxfId="530" priority="528" operator="equal">
      <formula>""</formula>
    </cfRule>
  </conditionalFormatting>
  <conditionalFormatting sqref="I96">
    <cfRule type="cellIs" dxfId="529" priority="527" operator="equal">
      <formula>""</formula>
    </cfRule>
  </conditionalFormatting>
  <conditionalFormatting sqref="J96">
    <cfRule type="cellIs" dxfId="528" priority="526" operator="equal">
      <formula>""</formula>
    </cfRule>
  </conditionalFormatting>
  <conditionalFormatting sqref="I80:J80">
    <cfRule type="cellIs" dxfId="527" priority="525" operator="equal">
      <formula>""</formula>
    </cfRule>
  </conditionalFormatting>
  <conditionalFormatting sqref="I77">
    <cfRule type="cellIs" dxfId="526" priority="524" operator="equal">
      <formula>""</formula>
    </cfRule>
  </conditionalFormatting>
  <conditionalFormatting sqref="I98">
    <cfRule type="cellIs" dxfId="525" priority="523" operator="equal">
      <formula>""</formula>
    </cfRule>
  </conditionalFormatting>
  <conditionalFormatting sqref="I79">
    <cfRule type="cellIs" dxfId="524" priority="522" operator="equal">
      <formula>""</formula>
    </cfRule>
  </conditionalFormatting>
  <conditionalFormatting sqref="J79">
    <cfRule type="cellIs" dxfId="523" priority="521" operator="equal">
      <formula>""</formula>
    </cfRule>
  </conditionalFormatting>
  <conditionalFormatting sqref="I78">
    <cfRule type="cellIs" dxfId="522" priority="520" operator="equal">
      <formula>""</formula>
    </cfRule>
  </conditionalFormatting>
  <conditionalFormatting sqref="J78">
    <cfRule type="cellIs" dxfId="521" priority="519" operator="equal">
      <formula>""</formula>
    </cfRule>
  </conditionalFormatting>
  <conditionalFormatting sqref="I97">
    <cfRule type="cellIs" dxfId="520" priority="518" operator="equal">
      <formula>""</formula>
    </cfRule>
  </conditionalFormatting>
  <conditionalFormatting sqref="J97">
    <cfRule type="cellIs" dxfId="519" priority="517" operator="equal">
      <formula>""</formula>
    </cfRule>
  </conditionalFormatting>
  <conditionalFormatting sqref="J99">
    <cfRule type="cellIs" dxfId="518" priority="516" operator="equal">
      <formula>""</formula>
    </cfRule>
  </conditionalFormatting>
  <conditionalFormatting sqref="I100">
    <cfRule type="cellIs" dxfId="517" priority="515" operator="equal">
      <formula>""</formula>
    </cfRule>
  </conditionalFormatting>
  <conditionalFormatting sqref="J100">
    <cfRule type="cellIs" dxfId="516" priority="514" operator="equal">
      <formula>""</formula>
    </cfRule>
  </conditionalFormatting>
  <conditionalFormatting sqref="I101">
    <cfRule type="cellIs" dxfId="515" priority="513" operator="equal">
      <formula>""</formula>
    </cfRule>
  </conditionalFormatting>
  <conditionalFormatting sqref="J101">
    <cfRule type="cellIs" dxfId="514" priority="512" operator="equal">
      <formula>""</formula>
    </cfRule>
  </conditionalFormatting>
  <conditionalFormatting sqref="G104">
    <cfRule type="containsText" dxfId="513" priority="508" operator="containsText" text="Require attention">
      <formula>NOT(ISERROR(SEARCH("Require attention",G104)))</formula>
    </cfRule>
    <cfRule type="containsText" dxfId="512" priority="509" operator="containsText" text="On Track">
      <formula>NOT(ISERROR(SEARCH("On Track",G104)))</formula>
    </cfRule>
    <cfRule type="containsText" dxfId="511" priority="510" operator="containsText" text="Completed">
      <formula>NOT(ISERROR(SEARCH("Completed",G104)))</formula>
    </cfRule>
    <cfRule type="containsBlanks" dxfId="510" priority="511">
      <formula>LEN(TRIM(G104))=0</formula>
    </cfRule>
  </conditionalFormatting>
  <conditionalFormatting sqref="G104">
    <cfRule type="containsText" dxfId="509" priority="507" operator="containsText" text="Not started">
      <formula>NOT(ISERROR(SEARCH("Not started",G104)))</formula>
    </cfRule>
  </conditionalFormatting>
  <conditionalFormatting sqref="J104">
    <cfRule type="cellIs" dxfId="508" priority="506" operator="equal">
      <formula>""</formula>
    </cfRule>
  </conditionalFormatting>
  <conditionalFormatting sqref="G105:G109">
    <cfRule type="containsText" dxfId="507" priority="502" operator="containsText" text="Require attention">
      <formula>NOT(ISERROR(SEARCH("Require attention",G105)))</formula>
    </cfRule>
    <cfRule type="containsText" dxfId="506" priority="503" operator="containsText" text="On Track">
      <formula>NOT(ISERROR(SEARCH("On Track",G105)))</formula>
    </cfRule>
    <cfRule type="containsText" dxfId="505" priority="504" operator="containsText" text="Completed">
      <formula>NOT(ISERROR(SEARCH("Completed",G105)))</formula>
    </cfRule>
    <cfRule type="containsBlanks" dxfId="504" priority="505">
      <formula>LEN(TRIM(G105))=0</formula>
    </cfRule>
  </conditionalFormatting>
  <conditionalFormatting sqref="G105:G109">
    <cfRule type="containsText" dxfId="503" priority="501" operator="containsText" text="Not started">
      <formula>NOT(ISERROR(SEARCH("Not started",G105)))</formula>
    </cfRule>
  </conditionalFormatting>
  <conditionalFormatting sqref="J105:J108">
    <cfRule type="cellIs" dxfId="502" priority="500" operator="equal">
      <formula>""</formula>
    </cfRule>
  </conditionalFormatting>
  <conditionalFormatting sqref="I105">
    <cfRule type="cellIs" dxfId="501" priority="499" operator="equal">
      <formula>""</formula>
    </cfRule>
  </conditionalFormatting>
  <conditionalFormatting sqref="J103">
    <cfRule type="cellIs" dxfId="500" priority="498" operator="equal">
      <formula>""</formula>
    </cfRule>
  </conditionalFormatting>
  <conditionalFormatting sqref="I110">
    <cfRule type="cellIs" dxfId="499" priority="497" operator="equal">
      <formula>""</formula>
    </cfRule>
  </conditionalFormatting>
  <conditionalFormatting sqref="J110">
    <cfRule type="cellIs" dxfId="498" priority="496" operator="equal">
      <formula>""</formula>
    </cfRule>
  </conditionalFormatting>
  <conditionalFormatting sqref="I112">
    <cfRule type="cellIs" dxfId="497" priority="495" operator="equal">
      <formula>""</formula>
    </cfRule>
  </conditionalFormatting>
  <conditionalFormatting sqref="J111">
    <cfRule type="cellIs" dxfId="496" priority="494" operator="equal">
      <formula>""</formula>
    </cfRule>
  </conditionalFormatting>
  <conditionalFormatting sqref="I111">
    <cfRule type="cellIs" dxfId="495" priority="493" operator="equal">
      <formula>""</formula>
    </cfRule>
  </conditionalFormatting>
  <conditionalFormatting sqref="J113">
    <cfRule type="cellIs" dxfId="494" priority="492" operator="equal">
      <formula>""</formula>
    </cfRule>
  </conditionalFormatting>
  <conditionalFormatting sqref="I113">
    <cfRule type="cellIs" dxfId="493" priority="491" operator="equal">
      <formula>""</formula>
    </cfRule>
  </conditionalFormatting>
  <conditionalFormatting sqref="J114">
    <cfRule type="cellIs" dxfId="492" priority="490" operator="equal">
      <formula>""</formula>
    </cfRule>
  </conditionalFormatting>
  <conditionalFormatting sqref="I114">
    <cfRule type="cellIs" dxfId="491" priority="489" operator="equal">
      <formula>""</formula>
    </cfRule>
  </conditionalFormatting>
  <conditionalFormatting sqref="I116">
    <cfRule type="cellIs" dxfId="490" priority="488" operator="equal">
      <formula>""</formula>
    </cfRule>
  </conditionalFormatting>
  <conditionalFormatting sqref="G127">
    <cfRule type="containsText" dxfId="489" priority="484" operator="containsText" text="Require attention">
      <formula>NOT(ISERROR(SEARCH("Require attention",G127)))</formula>
    </cfRule>
    <cfRule type="containsText" dxfId="488" priority="485" operator="containsText" text="On Track">
      <formula>NOT(ISERROR(SEARCH("On Track",G127)))</formula>
    </cfRule>
    <cfRule type="containsText" dxfId="487" priority="486" operator="containsText" text="Completed">
      <formula>NOT(ISERROR(SEARCH("Completed",G127)))</formula>
    </cfRule>
    <cfRule type="containsBlanks" dxfId="486" priority="487">
      <formula>LEN(TRIM(G127))=0</formula>
    </cfRule>
  </conditionalFormatting>
  <conditionalFormatting sqref="G127">
    <cfRule type="containsText" dxfId="485" priority="483" operator="containsText" text="Not started">
      <formula>NOT(ISERROR(SEARCH("Not started",G127)))</formula>
    </cfRule>
  </conditionalFormatting>
  <conditionalFormatting sqref="I118">
    <cfRule type="cellIs" dxfId="484" priority="482" operator="equal">
      <formula>""</formula>
    </cfRule>
  </conditionalFormatting>
  <conditionalFormatting sqref="I119">
    <cfRule type="cellIs" dxfId="483" priority="481" operator="equal">
      <formula>""</formula>
    </cfRule>
  </conditionalFormatting>
  <conditionalFormatting sqref="I127">
    <cfRule type="cellIs" dxfId="482" priority="480" operator="equal">
      <formula>""</formula>
    </cfRule>
  </conditionalFormatting>
  <conditionalFormatting sqref="J127">
    <cfRule type="cellIs" dxfId="481" priority="479" operator="equal">
      <formula>""</formula>
    </cfRule>
  </conditionalFormatting>
  <conditionalFormatting sqref="I124:I126">
    <cfRule type="cellIs" dxfId="480" priority="478" operator="equal">
      <formula>""</formula>
    </cfRule>
  </conditionalFormatting>
  <conditionalFormatting sqref="J124:J126">
    <cfRule type="cellIs" dxfId="479" priority="477" operator="equal">
      <formula>""</formula>
    </cfRule>
  </conditionalFormatting>
  <conditionalFormatting sqref="I120">
    <cfRule type="cellIs" dxfId="478" priority="476" operator="equal">
      <formula>""</formula>
    </cfRule>
  </conditionalFormatting>
  <conditionalFormatting sqref="G117:G119">
    <cfRule type="containsText" dxfId="477" priority="472" operator="containsText" text="Require attention">
      <formula>NOT(ISERROR(SEARCH("Require attention",G117)))</formula>
    </cfRule>
    <cfRule type="containsText" dxfId="476" priority="473" operator="containsText" text="On Track">
      <formula>NOT(ISERROR(SEARCH("On Track",G117)))</formula>
    </cfRule>
    <cfRule type="containsText" dxfId="475" priority="474" operator="containsText" text="Completed">
      <formula>NOT(ISERROR(SEARCH("Completed",G117)))</formula>
    </cfRule>
    <cfRule type="containsBlanks" dxfId="474" priority="475">
      <formula>LEN(TRIM(G117))=0</formula>
    </cfRule>
  </conditionalFormatting>
  <conditionalFormatting sqref="G117:G119">
    <cfRule type="containsText" dxfId="473" priority="471" operator="containsText" text="Not started">
      <formula>NOT(ISERROR(SEARCH("Not started",G117)))</formula>
    </cfRule>
  </conditionalFormatting>
  <conditionalFormatting sqref="J120">
    <cfRule type="cellIs" dxfId="472" priority="470" operator="equal">
      <formula>""</formula>
    </cfRule>
  </conditionalFormatting>
  <conditionalFormatting sqref="I117">
    <cfRule type="cellIs" dxfId="471" priority="469" operator="equal">
      <formula>""</formula>
    </cfRule>
  </conditionalFormatting>
  <conditionalFormatting sqref="J117">
    <cfRule type="cellIs" dxfId="470" priority="468" operator="equal">
      <formula>""</formula>
    </cfRule>
  </conditionalFormatting>
  <conditionalFormatting sqref="J118">
    <cfRule type="cellIs" dxfId="469" priority="467" operator="equal">
      <formula>""</formula>
    </cfRule>
  </conditionalFormatting>
  <conditionalFormatting sqref="J119">
    <cfRule type="cellIs" dxfId="468" priority="466" operator="equal">
      <formula>""</formula>
    </cfRule>
  </conditionalFormatting>
  <conditionalFormatting sqref="I121">
    <cfRule type="cellIs" dxfId="467" priority="465" operator="equal">
      <formula>""</formula>
    </cfRule>
  </conditionalFormatting>
  <conditionalFormatting sqref="J121">
    <cfRule type="cellIs" dxfId="466" priority="464" operator="equal">
      <formula>""</formula>
    </cfRule>
  </conditionalFormatting>
  <conditionalFormatting sqref="I122">
    <cfRule type="cellIs" dxfId="465" priority="463" operator="equal">
      <formula>""</formula>
    </cfRule>
  </conditionalFormatting>
  <conditionalFormatting sqref="J122">
    <cfRule type="cellIs" dxfId="464" priority="462" operator="equal">
      <formula>""</formula>
    </cfRule>
  </conditionalFormatting>
  <conditionalFormatting sqref="I104">
    <cfRule type="cellIs" dxfId="463" priority="461" operator="equal">
      <formula>""</formula>
    </cfRule>
  </conditionalFormatting>
  <conditionalFormatting sqref="I89">
    <cfRule type="cellIs" dxfId="462" priority="460" operator="equal">
      <formula>""</formula>
    </cfRule>
  </conditionalFormatting>
  <conditionalFormatting sqref="J89">
    <cfRule type="cellIs" dxfId="461" priority="459" operator="equal">
      <formula>""</formula>
    </cfRule>
  </conditionalFormatting>
  <conditionalFormatting sqref="I90">
    <cfRule type="cellIs" dxfId="460" priority="458" operator="equal">
      <formula>""</formula>
    </cfRule>
  </conditionalFormatting>
  <conditionalFormatting sqref="J90">
    <cfRule type="cellIs" dxfId="459" priority="457" operator="equal">
      <formula>""</formula>
    </cfRule>
  </conditionalFormatting>
  <conditionalFormatting sqref="I92">
    <cfRule type="cellIs" dxfId="458" priority="456" operator="equal">
      <formula>""</formula>
    </cfRule>
  </conditionalFormatting>
  <conditionalFormatting sqref="J92">
    <cfRule type="cellIs" dxfId="457" priority="455" operator="equal">
      <formula>""</formula>
    </cfRule>
  </conditionalFormatting>
  <conditionalFormatting sqref="I91">
    <cfRule type="cellIs" dxfId="456" priority="454" operator="equal">
      <formula>""</formula>
    </cfRule>
  </conditionalFormatting>
  <conditionalFormatting sqref="J91">
    <cfRule type="cellIs" dxfId="455" priority="453" operator="equal">
      <formula>""</formula>
    </cfRule>
  </conditionalFormatting>
  <conditionalFormatting sqref="I93">
    <cfRule type="cellIs" dxfId="454" priority="452" operator="equal">
      <formula>""</formula>
    </cfRule>
  </conditionalFormatting>
  <conditionalFormatting sqref="J93">
    <cfRule type="cellIs" dxfId="453" priority="451" operator="equal">
      <formula>""</formula>
    </cfRule>
  </conditionalFormatting>
  <conditionalFormatting sqref="I186">
    <cfRule type="cellIs" dxfId="452" priority="450" operator="equal">
      <formula>""</formula>
    </cfRule>
  </conditionalFormatting>
  <conditionalFormatting sqref="I168">
    <cfRule type="cellIs" dxfId="451" priority="449" operator="equal">
      <formula>""</formula>
    </cfRule>
  </conditionalFormatting>
  <conditionalFormatting sqref="I174:I177">
    <cfRule type="cellIs" dxfId="450" priority="448" operator="equal">
      <formula>""</formula>
    </cfRule>
  </conditionalFormatting>
  <conditionalFormatting sqref="G185">
    <cfRule type="containsText" dxfId="449" priority="444" operator="containsText" text="Require attention">
      <formula>NOT(ISERROR(SEARCH("Require attention",G185)))</formula>
    </cfRule>
    <cfRule type="containsText" dxfId="448" priority="445" operator="containsText" text="On Track">
      <formula>NOT(ISERROR(SEARCH("On Track",G185)))</formula>
    </cfRule>
    <cfRule type="containsText" dxfId="447" priority="446" operator="containsText" text="Completed">
      <formula>NOT(ISERROR(SEARCH("Completed",G185)))</formula>
    </cfRule>
    <cfRule type="containsBlanks" dxfId="446" priority="447">
      <formula>LEN(TRIM(G185))=0</formula>
    </cfRule>
  </conditionalFormatting>
  <conditionalFormatting sqref="G185">
    <cfRule type="containsText" dxfId="445" priority="443" operator="containsText" text="Not started">
      <formula>NOT(ISERROR(SEARCH("Not started",G185)))</formula>
    </cfRule>
  </conditionalFormatting>
  <conditionalFormatting sqref="I154:I158">
    <cfRule type="cellIs" dxfId="444" priority="442" operator="equal">
      <formula>""</formula>
    </cfRule>
  </conditionalFormatting>
  <conditionalFormatting sqref="I184">
    <cfRule type="cellIs" dxfId="443" priority="441" operator="equal">
      <formula>""</formula>
    </cfRule>
  </conditionalFormatting>
  <conditionalFormatting sqref="I183">
    <cfRule type="cellIs" dxfId="442" priority="440" operator="equal">
      <formula>""</formula>
    </cfRule>
  </conditionalFormatting>
  <conditionalFormatting sqref="I185">
    <cfRule type="cellIs" dxfId="441" priority="439" operator="equal">
      <formula>""</formula>
    </cfRule>
  </conditionalFormatting>
  <conditionalFormatting sqref="I154">
    <cfRule type="cellIs" dxfId="440" priority="438" operator="equal">
      <formula>""</formula>
    </cfRule>
  </conditionalFormatting>
  <conditionalFormatting sqref="I155:I158">
    <cfRule type="cellIs" dxfId="439" priority="437" operator="equal">
      <formula>""</formula>
    </cfRule>
  </conditionalFormatting>
  <conditionalFormatting sqref="J165:J168">
    <cfRule type="cellIs" dxfId="438" priority="436" operator="equal">
      <formula>""</formula>
    </cfRule>
  </conditionalFormatting>
  <conditionalFormatting sqref="I166">
    <cfRule type="cellIs" dxfId="437" priority="435" operator="equal">
      <formula>""</formula>
    </cfRule>
  </conditionalFormatting>
  <conditionalFormatting sqref="I165">
    <cfRule type="cellIs" dxfId="436" priority="434" operator="equal">
      <formula>""</formula>
    </cfRule>
  </conditionalFormatting>
  <conditionalFormatting sqref="I167">
    <cfRule type="cellIs" dxfId="435" priority="433" operator="equal">
      <formula>""</formula>
    </cfRule>
  </conditionalFormatting>
  <conditionalFormatting sqref="I169:I173">
    <cfRule type="cellIs" dxfId="434" priority="432" operator="equal">
      <formula>""</formula>
    </cfRule>
  </conditionalFormatting>
  <conditionalFormatting sqref="J169:J173">
    <cfRule type="cellIs" dxfId="433" priority="431" operator="equal">
      <formula>""</formula>
    </cfRule>
  </conditionalFormatting>
  <conditionalFormatting sqref="J165:J168">
    <cfRule type="cellIs" dxfId="432" priority="430" operator="equal">
      <formula>""</formula>
    </cfRule>
  </conditionalFormatting>
  <conditionalFormatting sqref="J174:J177">
    <cfRule type="cellIs" dxfId="431" priority="429" operator="equal">
      <formula>""</formula>
    </cfRule>
  </conditionalFormatting>
  <conditionalFormatting sqref="I174:I177">
    <cfRule type="cellIs" dxfId="430" priority="428" operator="equal">
      <formula>""</formula>
    </cfRule>
  </conditionalFormatting>
  <conditionalFormatting sqref="G160:G161">
    <cfRule type="containsText" dxfId="429" priority="424" operator="containsText" text="Require attention">
      <formula>NOT(ISERROR(SEARCH("Require attention",G160)))</formula>
    </cfRule>
    <cfRule type="containsText" dxfId="428" priority="425" operator="containsText" text="On Track">
      <formula>NOT(ISERROR(SEARCH("On Track",G160)))</formula>
    </cfRule>
    <cfRule type="containsText" dxfId="427" priority="426" operator="containsText" text="Completed">
      <formula>NOT(ISERROR(SEARCH("Completed",G160)))</formula>
    </cfRule>
    <cfRule type="containsBlanks" dxfId="426" priority="427">
      <formula>LEN(TRIM(G160))=0</formula>
    </cfRule>
  </conditionalFormatting>
  <conditionalFormatting sqref="G160:G161">
    <cfRule type="containsText" dxfId="425" priority="423" operator="containsText" text="Not started">
      <formula>NOT(ISERROR(SEARCH("Not started",G160)))</formula>
    </cfRule>
  </conditionalFormatting>
  <conditionalFormatting sqref="J160">
    <cfRule type="cellIs" dxfId="424" priority="422" operator="equal">
      <formula>""</formula>
    </cfRule>
  </conditionalFormatting>
  <conditionalFormatting sqref="I160">
    <cfRule type="cellIs" dxfId="423" priority="421" operator="equal">
      <formula>""</formula>
    </cfRule>
  </conditionalFormatting>
  <conditionalFormatting sqref="I139">
    <cfRule type="cellIs" dxfId="422" priority="420" operator="equal">
      <formula>""</formula>
    </cfRule>
  </conditionalFormatting>
  <conditionalFormatting sqref="I76">
    <cfRule type="cellIs" dxfId="421" priority="419" operator="equal">
      <formula>""</formula>
    </cfRule>
  </conditionalFormatting>
  <conditionalFormatting sqref="I161">
    <cfRule type="cellIs" dxfId="420" priority="418" operator="equal">
      <formula>""</formula>
    </cfRule>
  </conditionalFormatting>
  <conditionalFormatting sqref="J161">
    <cfRule type="cellIs" dxfId="419" priority="417" operator="equal">
      <formula>""</formula>
    </cfRule>
  </conditionalFormatting>
  <conditionalFormatting sqref="J115">
    <cfRule type="cellIs" dxfId="418" priority="416" operator="equal">
      <formula>""</formula>
    </cfRule>
  </conditionalFormatting>
  <conditionalFormatting sqref="I115">
    <cfRule type="cellIs" dxfId="417" priority="415" operator="equal">
      <formula>""</formula>
    </cfRule>
  </conditionalFormatting>
  <conditionalFormatting sqref="I138">
    <cfRule type="cellIs" dxfId="416" priority="414" operator="equal">
      <formula>""</formula>
    </cfRule>
  </conditionalFormatting>
  <conditionalFormatting sqref="I137">
    <cfRule type="cellIs" dxfId="415" priority="413" operator="equal">
      <formula>""</formula>
    </cfRule>
  </conditionalFormatting>
  <conditionalFormatting sqref="J139">
    <cfRule type="cellIs" dxfId="414" priority="412" operator="equal">
      <formula>""</formula>
    </cfRule>
  </conditionalFormatting>
  <conditionalFormatting sqref="J76">
    <cfRule type="cellIs" dxfId="413" priority="411" operator="equal">
      <formula>""</formula>
    </cfRule>
  </conditionalFormatting>
  <conditionalFormatting sqref="J138">
    <cfRule type="cellIs" dxfId="412" priority="410" operator="equal">
      <formula>""</formula>
    </cfRule>
  </conditionalFormatting>
  <conditionalFormatting sqref="J137">
    <cfRule type="cellIs" dxfId="411" priority="409" operator="equal">
      <formula>""</formula>
    </cfRule>
  </conditionalFormatting>
  <conditionalFormatting sqref="J136">
    <cfRule type="cellIs" dxfId="410" priority="408" operator="equal">
      <formula>""</formula>
    </cfRule>
  </conditionalFormatting>
  <conditionalFormatting sqref="I136">
    <cfRule type="cellIs" dxfId="409" priority="407" operator="equal">
      <formula>""</formula>
    </cfRule>
  </conditionalFormatting>
  <conditionalFormatting sqref="J187:J188">
    <cfRule type="cellIs" dxfId="408" priority="406" operator="equal">
      <formula>""</formula>
    </cfRule>
  </conditionalFormatting>
  <conditionalFormatting sqref="J187:J188">
    <cfRule type="cellIs" dxfId="407" priority="405" operator="equal">
      <formula>""</formula>
    </cfRule>
  </conditionalFormatting>
  <conditionalFormatting sqref="J187:J188">
    <cfRule type="cellIs" dxfId="406" priority="404" operator="equal">
      <formula>""</formula>
    </cfRule>
  </conditionalFormatting>
  <conditionalFormatting sqref="I187">
    <cfRule type="cellIs" dxfId="405" priority="403" operator="equal">
      <formula>""</formula>
    </cfRule>
  </conditionalFormatting>
  <conditionalFormatting sqref="J200:J201 J203:J205">
    <cfRule type="cellIs" dxfId="404" priority="402" operator="equal">
      <formula>""</formula>
    </cfRule>
  </conditionalFormatting>
  <conditionalFormatting sqref="J200:J201 J203:J205">
    <cfRule type="cellIs" dxfId="403" priority="401" operator="equal">
      <formula>""</formula>
    </cfRule>
  </conditionalFormatting>
  <conditionalFormatting sqref="J189 J191:J198">
    <cfRule type="cellIs" dxfId="402" priority="400" operator="equal">
      <formula>""</formula>
    </cfRule>
  </conditionalFormatting>
  <conditionalFormatting sqref="J189 J191:J198">
    <cfRule type="cellIs" dxfId="401" priority="399" operator="equal">
      <formula>""</formula>
    </cfRule>
  </conditionalFormatting>
  <conditionalFormatting sqref="J189 J191:J198">
    <cfRule type="cellIs" dxfId="400" priority="398" operator="equal">
      <formula>""</formula>
    </cfRule>
  </conditionalFormatting>
  <conditionalFormatting sqref="J200:J201 J203:J205">
    <cfRule type="cellIs" dxfId="399" priority="397" operator="equal">
      <formula>""</formula>
    </cfRule>
  </conditionalFormatting>
  <conditionalFormatting sqref="I200">
    <cfRule type="cellIs" dxfId="398" priority="396" operator="equal">
      <formula>""</formula>
    </cfRule>
  </conditionalFormatting>
  <conditionalFormatting sqref="I200">
    <cfRule type="cellIs" dxfId="397" priority="395" operator="equal">
      <formula>""</formula>
    </cfRule>
  </conditionalFormatting>
  <conditionalFormatting sqref="I200">
    <cfRule type="cellIs" dxfId="396" priority="394" operator="equal">
      <formula>""</formula>
    </cfRule>
  </conditionalFormatting>
  <conditionalFormatting sqref="I201 I203:I204">
    <cfRule type="cellIs" dxfId="395" priority="393" operator="equal">
      <formula>""</formula>
    </cfRule>
  </conditionalFormatting>
  <conditionalFormatting sqref="I201 I203:I204">
    <cfRule type="cellIs" dxfId="394" priority="392" operator="equal">
      <formula>""</formula>
    </cfRule>
  </conditionalFormatting>
  <conditionalFormatting sqref="I201 I203:I204">
    <cfRule type="cellIs" dxfId="393" priority="391" operator="equal">
      <formula>""</formula>
    </cfRule>
  </conditionalFormatting>
  <conditionalFormatting sqref="I189 I191:I192">
    <cfRule type="cellIs" dxfId="392" priority="390" operator="equal">
      <formula>""</formula>
    </cfRule>
  </conditionalFormatting>
  <conditionalFormatting sqref="I189 I191:I192">
    <cfRule type="cellIs" dxfId="391" priority="389" operator="equal">
      <formula>""</formula>
    </cfRule>
  </conditionalFormatting>
  <conditionalFormatting sqref="I189 I191:I192">
    <cfRule type="cellIs" dxfId="390" priority="388" operator="equal">
      <formula>""</formula>
    </cfRule>
  </conditionalFormatting>
  <conditionalFormatting sqref="J190">
    <cfRule type="cellIs" dxfId="389" priority="387" operator="equal">
      <formula>""</formula>
    </cfRule>
  </conditionalFormatting>
  <conditionalFormatting sqref="J190">
    <cfRule type="cellIs" dxfId="388" priority="386" operator="equal">
      <formula>""</formula>
    </cfRule>
  </conditionalFormatting>
  <conditionalFormatting sqref="J190">
    <cfRule type="cellIs" dxfId="387" priority="385" operator="equal">
      <formula>""</formula>
    </cfRule>
  </conditionalFormatting>
  <conditionalFormatting sqref="G190">
    <cfRule type="containsText" dxfId="386" priority="381" operator="containsText" text="Require attention">
      <formula>NOT(ISERROR(SEARCH("Require attention",G190)))</formula>
    </cfRule>
    <cfRule type="containsText" dxfId="385" priority="382" operator="containsText" text="On Track">
      <formula>NOT(ISERROR(SEARCH("On Track",G190)))</formula>
    </cfRule>
    <cfRule type="containsText" dxfId="384" priority="383" operator="containsText" text="Completed">
      <formula>NOT(ISERROR(SEARCH("Completed",G190)))</formula>
    </cfRule>
    <cfRule type="containsBlanks" dxfId="383" priority="384">
      <formula>LEN(TRIM(G190))=0</formula>
    </cfRule>
  </conditionalFormatting>
  <conditionalFormatting sqref="G190">
    <cfRule type="containsText" dxfId="382" priority="380" operator="containsText" text="Not started">
      <formula>NOT(ISERROR(SEARCH("Not started",G190)))</formula>
    </cfRule>
  </conditionalFormatting>
  <conditionalFormatting sqref="I190">
    <cfRule type="cellIs" dxfId="381" priority="379" operator="equal">
      <formula>""</formula>
    </cfRule>
  </conditionalFormatting>
  <conditionalFormatting sqref="I190">
    <cfRule type="cellIs" dxfId="380" priority="378" operator="equal">
      <formula>""</formula>
    </cfRule>
  </conditionalFormatting>
  <conditionalFormatting sqref="I190">
    <cfRule type="cellIs" dxfId="379" priority="377" operator="equal">
      <formula>""</formula>
    </cfRule>
  </conditionalFormatting>
  <conditionalFormatting sqref="I202">
    <cfRule type="cellIs" dxfId="378" priority="376" operator="equal">
      <formula>""</formula>
    </cfRule>
  </conditionalFormatting>
  <conditionalFormatting sqref="I202">
    <cfRule type="cellIs" dxfId="377" priority="375" operator="equal">
      <formula>""</formula>
    </cfRule>
  </conditionalFormatting>
  <conditionalFormatting sqref="I202">
    <cfRule type="cellIs" dxfId="376" priority="374" operator="equal">
      <formula>""</formula>
    </cfRule>
  </conditionalFormatting>
  <conditionalFormatting sqref="J202">
    <cfRule type="cellIs" dxfId="375" priority="373" operator="equal">
      <formula>""</formula>
    </cfRule>
  </conditionalFormatting>
  <conditionalFormatting sqref="J202">
    <cfRule type="cellIs" dxfId="374" priority="372" operator="equal">
      <formula>""</formula>
    </cfRule>
  </conditionalFormatting>
  <conditionalFormatting sqref="J202">
    <cfRule type="cellIs" dxfId="373" priority="371" operator="equal">
      <formula>""</formula>
    </cfRule>
  </conditionalFormatting>
  <conditionalFormatting sqref="G202">
    <cfRule type="containsText" dxfId="372" priority="367" operator="containsText" text="Require attention">
      <formula>NOT(ISERROR(SEARCH("Require attention",G202)))</formula>
    </cfRule>
    <cfRule type="containsText" dxfId="371" priority="368" operator="containsText" text="On Track">
      <formula>NOT(ISERROR(SEARCH("On Track",G202)))</formula>
    </cfRule>
    <cfRule type="containsText" dxfId="370" priority="369" operator="containsText" text="Completed">
      <formula>NOT(ISERROR(SEARCH("Completed",G202)))</formula>
    </cfRule>
    <cfRule type="containsBlanks" dxfId="369" priority="370">
      <formula>LEN(TRIM(G202))=0</formula>
    </cfRule>
  </conditionalFormatting>
  <conditionalFormatting sqref="G202">
    <cfRule type="containsText" dxfId="368" priority="366" operator="containsText" text="Not started">
      <formula>NOT(ISERROR(SEARCH("Not started",G202)))</formula>
    </cfRule>
  </conditionalFormatting>
  <conditionalFormatting sqref="J208">
    <cfRule type="cellIs" dxfId="367" priority="365" operator="equal">
      <formula>""</formula>
    </cfRule>
  </conditionalFormatting>
  <conditionalFormatting sqref="I208">
    <cfRule type="cellIs" dxfId="366" priority="364" operator="equal">
      <formula>""</formula>
    </cfRule>
  </conditionalFormatting>
  <conditionalFormatting sqref="I209">
    <cfRule type="cellIs" dxfId="365" priority="363" operator="equal">
      <formula>""</formula>
    </cfRule>
  </conditionalFormatting>
  <conditionalFormatting sqref="J209">
    <cfRule type="cellIs" dxfId="364" priority="362" operator="equal">
      <formula>""</formula>
    </cfRule>
  </conditionalFormatting>
  <conditionalFormatting sqref="I193:I198">
    <cfRule type="cellIs" dxfId="363" priority="361" operator="equal">
      <formula>""</formula>
    </cfRule>
  </conditionalFormatting>
  <conditionalFormatting sqref="I193:I198">
    <cfRule type="cellIs" dxfId="362" priority="360" operator="equal">
      <formula>""</formula>
    </cfRule>
  </conditionalFormatting>
  <conditionalFormatting sqref="I193:I198">
    <cfRule type="cellIs" dxfId="361" priority="359" operator="equal">
      <formula>""</formula>
    </cfRule>
  </conditionalFormatting>
  <conditionalFormatting sqref="J213">
    <cfRule type="cellIs" dxfId="360" priority="358" operator="equal">
      <formula>""</formula>
    </cfRule>
  </conditionalFormatting>
  <conditionalFormatting sqref="I205">
    <cfRule type="cellIs" dxfId="359" priority="357" operator="equal">
      <formula>""</formula>
    </cfRule>
  </conditionalFormatting>
  <conditionalFormatting sqref="I205">
    <cfRule type="cellIs" dxfId="358" priority="356" operator="equal">
      <formula>""</formula>
    </cfRule>
  </conditionalFormatting>
  <conditionalFormatting sqref="I205">
    <cfRule type="cellIs" dxfId="357" priority="355" operator="equal">
      <formula>""</formula>
    </cfRule>
  </conditionalFormatting>
  <conditionalFormatting sqref="J211">
    <cfRule type="cellIs" dxfId="356" priority="354" operator="equal">
      <formula>""</formula>
    </cfRule>
  </conditionalFormatting>
  <conditionalFormatting sqref="I211">
    <cfRule type="cellIs" dxfId="355" priority="353" operator="equal">
      <formula>""</formula>
    </cfRule>
  </conditionalFormatting>
  <conditionalFormatting sqref="I210:J210">
    <cfRule type="cellIs" dxfId="354" priority="352" operator="equal">
      <formula>""</formula>
    </cfRule>
  </conditionalFormatting>
  <conditionalFormatting sqref="I214">
    <cfRule type="cellIs" dxfId="353" priority="351" operator="equal">
      <formula>""</formula>
    </cfRule>
  </conditionalFormatting>
  <conditionalFormatting sqref="I214">
    <cfRule type="cellIs" dxfId="352" priority="350" operator="equal">
      <formula>""</formula>
    </cfRule>
  </conditionalFormatting>
  <conditionalFormatting sqref="I214">
    <cfRule type="cellIs" dxfId="351" priority="349" operator="equal">
      <formula>""</formula>
    </cfRule>
  </conditionalFormatting>
  <conditionalFormatting sqref="I215">
    <cfRule type="cellIs" dxfId="350" priority="348" operator="equal">
      <formula>""</formula>
    </cfRule>
  </conditionalFormatting>
  <conditionalFormatting sqref="I106:I108">
    <cfRule type="cellIs" dxfId="349" priority="347" operator="equal">
      <formula>""</formula>
    </cfRule>
  </conditionalFormatting>
  <conditionalFormatting sqref="I215">
    <cfRule type="cellIs" dxfId="348" priority="346" operator="equal">
      <formula>""</formula>
    </cfRule>
  </conditionalFormatting>
  <conditionalFormatting sqref="I109">
    <cfRule type="cellIs" dxfId="347" priority="345" operator="equal">
      <formula>""</formula>
    </cfRule>
  </conditionalFormatting>
  <conditionalFormatting sqref="J109">
    <cfRule type="cellIs" dxfId="346" priority="344" operator="equal">
      <formula>""</formula>
    </cfRule>
  </conditionalFormatting>
  <conditionalFormatting sqref="G159">
    <cfRule type="containsText" dxfId="345" priority="340" operator="containsText" text="Require attention">
      <formula>NOT(ISERROR(SEARCH("Require attention",G159)))</formula>
    </cfRule>
    <cfRule type="containsText" dxfId="344" priority="341" operator="containsText" text="On Track">
      <formula>NOT(ISERROR(SEARCH("On Track",G159)))</formula>
    </cfRule>
    <cfRule type="containsText" dxfId="343" priority="342" operator="containsText" text="Completed">
      <formula>NOT(ISERROR(SEARCH("Completed",G159)))</formula>
    </cfRule>
    <cfRule type="containsBlanks" dxfId="342" priority="343">
      <formula>LEN(TRIM(G159))=0</formula>
    </cfRule>
  </conditionalFormatting>
  <conditionalFormatting sqref="G159">
    <cfRule type="containsText" dxfId="341" priority="339" operator="containsText" text="Not started">
      <formula>NOT(ISERROR(SEARCH("Not started",G159)))</formula>
    </cfRule>
  </conditionalFormatting>
  <conditionalFormatting sqref="J212">
    <cfRule type="cellIs" dxfId="340" priority="338" operator="equal">
      <formula>""</formula>
    </cfRule>
  </conditionalFormatting>
  <conditionalFormatting sqref="J212">
    <cfRule type="cellIs" dxfId="339" priority="337" operator="equal">
      <formula>""</formula>
    </cfRule>
  </conditionalFormatting>
  <conditionalFormatting sqref="J212">
    <cfRule type="cellIs" dxfId="338" priority="336" operator="equal">
      <formula>""</formula>
    </cfRule>
  </conditionalFormatting>
  <conditionalFormatting sqref="I212">
    <cfRule type="cellIs" dxfId="337" priority="335" operator="equal">
      <formula>""</formula>
    </cfRule>
  </conditionalFormatting>
  <conditionalFormatting sqref="I212">
    <cfRule type="cellIs" dxfId="336" priority="334" operator="equal">
      <formula>""</formula>
    </cfRule>
  </conditionalFormatting>
  <conditionalFormatting sqref="I212">
    <cfRule type="cellIs" dxfId="335" priority="333" operator="equal">
      <formula>""</formula>
    </cfRule>
  </conditionalFormatting>
  <conditionalFormatting sqref="I213">
    <cfRule type="cellIs" dxfId="334" priority="332" operator="equal">
      <formula>""</formula>
    </cfRule>
  </conditionalFormatting>
  <conditionalFormatting sqref="I213">
    <cfRule type="cellIs" dxfId="333" priority="331" operator="equal">
      <formula>""</formula>
    </cfRule>
  </conditionalFormatting>
  <conditionalFormatting sqref="I213">
    <cfRule type="cellIs" dxfId="332" priority="330" operator="equal">
      <formula>""</formula>
    </cfRule>
  </conditionalFormatting>
  <conditionalFormatting sqref="J213">
    <cfRule type="cellIs" dxfId="331" priority="329" operator="equal">
      <formula>""</formula>
    </cfRule>
  </conditionalFormatting>
  <conditionalFormatting sqref="J213">
    <cfRule type="cellIs" dxfId="330" priority="328" operator="equal">
      <formula>""</formula>
    </cfRule>
  </conditionalFormatting>
  <conditionalFormatting sqref="J214">
    <cfRule type="cellIs" dxfId="329" priority="327" operator="equal">
      <formula>""</formula>
    </cfRule>
  </conditionalFormatting>
  <conditionalFormatting sqref="J215">
    <cfRule type="cellIs" dxfId="328" priority="326" operator="equal">
      <formula>""</formula>
    </cfRule>
  </conditionalFormatting>
  <conditionalFormatting sqref="I215">
    <cfRule type="cellIs" dxfId="327" priority="325" operator="equal">
      <formula>""</formula>
    </cfRule>
  </conditionalFormatting>
  <conditionalFormatting sqref="G218:G220">
    <cfRule type="containsText" dxfId="326" priority="321" operator="containsText" text="Require attention">
      <formula>NOT(ISERROR(SEARCH("Require attention",G218)))</formula>
    </cfRule>
    <cfRule type="containsText" dxfId="325" priority="322" operator="containsText" text="On Track">
      <formula>NOT(ISERROR(SEARCH("On Track",G218)))</formula>
    </cfRule>
    <cfRule type="containsText" dxfId="324" priority="323" operator="containsText" text="Completed">
      <formula>NOT(ISERROR(SEARCH("Completed",G218)))</formula>
    </cfRule>
    <cfRule type="containsBlanks" dxfId="323" priority="324">
      <formula>LEN(TRIM(G218))=0</formula>
    </cfRule>
  </conditionalFormatting>
  <conditionalFormatting sqref="G218:G220">
    <cfRule type="containsText" dxfId="322" priority="320" operator="containsText" text="Not started">
      <formula>NOT(ISERROR(SEARCH("Not started",G218)))</formula>
    </cfRule>
  </conditionalFormatting>
  <conditionalFormatting sqref="J94">
    <cfRule type="cellIs" dxfId="321" priority="319" operator="equal">
      <formula>""</formula>
    </cfRule>
  </conditionalFormatting>
  <conditionalFormatting sqref="I94">
    <cfRule type="cellIs" dxfId="320" priority="318" operator="equal">
      <formula>""</formula>
    </cfRule>
  </conditionalFormatting>
  <conditionalFormatting sqref="N4 N200:N226 N124:N127 N89:N122 N136:N139 N129:N134 N149:N198 N7:N34 N40:N56 N63:N86">
    <cfRule type="containsText" dxfId="319" priority="315" operator="containsText" text="Late">
      <formula>NOT(ISERROR(SEARCH("Late",N4)))</formula>
    </cfRule>
    <cfRule type="containsText" dxfId="318" priority="316" operator="containsText" text="Completed">
      <formula>NOT(ISERROR(SEARCH("Completed",N4)))</formula>
    </cfRule>
    <cfRule type="containsBlanks" dxfId="317" priority="317">
      <formula>LEN(TRIM(N4))=0</formula>
    </cfRule>
  </conditionalFormatting>
  <conditionalFormatting sqref="N4 N200:N226 N124:N127 N89:N122 N136:N139 N129:N134 N149:N198 N7:N34 N40:N56 N63:N86">
    <cfRule type="containsText" dxfId="316" priority="314" operator="containsText" text="n/a">
      <formula>NOT(ISERROR(SEARCH("n/a",N4)))</formula>
    </cfRule>
  </conditionalFormatting>
  <conditionalFormatting sqref="N5:N6">
    <cfRule type="containsText" dxfId="315" priority="311" operator="containsText" text="Late">
      <formula>NOT(ISERROR(SEARCH("Late",N5)))</formula>
    </cfRule>
    <cfRule type="containsText" dxfId="314" priority="312" operator="containsText" text="Completed">
      <formula>NOT(ISERROR(SEARCH("Completed",N5)))</formula>
    </cfRule>
    <cfRule type="containsBlanks" dxfId="313" priority="313">
      <formula>LEN(TRIM(N5))=0</formula>
    </cfRule>
  </conditionalFormatting>
  <conditionalFormatting sqref="N5:N6">
    <cfRule type="containsText" dxfId="312" priority="310" operator="containsText" text="n/a">
      <formula>NOT(ISERROR(SEARCH("n/a",N5)))</formula>
    </cfRule>
  </conditionalFormatting>
  <conditionalFormatting sqref="J16:J18">
    <cfRule type="cellIs" dxfId="311" priority="309" operator="equal">
      <formula>""</formula>
    </cfRule>
  </conditionalFormatting>
  <conditionalFormatting sqref="G140:G141">
    <cfRule type="containsText" dxfId="310" priority="305" operator="containsText" text="Require attention">
      <formula>NOT(ISERROR(SEARCH("Require attention",G140)))</formula>
    </cfRule>
    <cfRule type="containsText" dxfId="309" priority="306" operator="containsText" text="On Track">
      <formula>NOT(ISERROR(SEARCH("On Track",G140)))</formula>
    </cfRule>
    <cfRule type="containsText" dxfId="308" priority="307" operator="containsText" text="Completed">
      <formula>NOT(ISERROR(SEARCH("Completed",G140)))</formula>
    </cfRule>
    <cfRule type="containsBlanks" dxfId="307" priority="308">
      <formula>LEN(TRIM(G140))=0</formula>
    </cfRule>
  </conditionalFormatting>
  <conditionalFormatting sqref="G140:G141">
    <cfRule type="containsText" dxfId="306" priority="304" operator="containsText" text="Not started">
      <formula>NOT(ISERROR(SEARCH("Not started",G140)))</formula>
    </cfRule>
  </conditionalFormatting>
  <conditionalFormatting sqref="J140">
    <cfRule type="cellIs" dxfId="305" priority="303" operator="equal">
      <formula>""</formula>
    </cfRule>
  </conditionalFormatting>
  <conditionalFormatting sqref="I140">
    <cfRule type="cellIs" dxfId="304" priority="302" operator="equal">
      <formula>""</formula>
    </cfRule>
  </conditionalFormatting>
  <conditionalFormatting sqref="N140:N141">
    <cfRule type="containsText" dxfId="303" priority="299" operator="containsText" text="Late">
      <formula>NOT(ISERROR(SEARCH("Late",N140)))</formula>
    </cfRule>
    <cfRule type="containsText" dxfId="302" priority="300" operator="containsText" text="Completed">
      <formula>NOT(ISERROR(SEARCH("Completed",N140)))</formula>
    </cfRule>
    <cfRule type="containsBlanks" dxfId="301" priority="301">
      <formula>LEN(TRIM(N140))=0</formula>
    </cfRule>
  </conditionalFormatting>
  <conditionalFormatting sqref="N140:N141">
    <cfRule type="containsText" dxfId="300" priority="298" operator="containsText" text="n/a">
      <formula>NOT(ISERROR(SEARCH("n/a",N140)))</formula>
    </cfRule>
  </conditionalFormatting>
  <conditionalFormatting sqref="I141:I147">
    <cfRule type="cellIs" dxfId="299" priority="297" operator="equal">
      <formula>""</formula>
    </cfRule>
  </conditionalFormatting>
  <conditionalFormatting sqref="G144:G148">
    <cfRule type="containsText" dxfId="298" priority="293" operator="containsText" text="Require attention">
      <formula>NOT(ISERROR(SEARCH("Require attention",G144)))</formula>
    </cfRule>
    <cfRule type="containsText" dxfId="297" priority="294" operator="containsText" text="On Track">
      <formula>NOT(ISERROR(SEARCH("On Track",G144)))</formula>
    </cfRule>
    <cfRule type="containsText" dxfId="296" priority="295" operator="containsText" text="Completed">
      <formula>NOT(ISERROR(SEARCH("Completed",G144)))</formula>
    </cfRule>
    <cfRule type="containsBlanks" dxfId="295" priority="296">
      <formula>LEN(TRIM(G144))=0</formula>
    </cfRule>
  </conditionalFormatting>
  <conditionalFormatting sqref="G144:G148">
    <cfRule type="containsText" dxfId="294" priority="292" operator="containsText" text="Not started">
      <formula>NOT(ISERROR(SEARCH("Not started",G144)))</formula>
    </cfRule>
  </conditionalFormatting>
  <conditionalFormatting sqref="G142:G143">
    <cfRule type="containsText" dxfId="293" priority="288" operator="containsText" text="Require attention">
      <formula>NOT(ISERROR(SEARCH("Require attention",G142)))</formula>
    </cfRule>
    <cfRule type="containsText" dxfId="292" priority="289" operator="containsText" text="On Track">
      <formula>NOT(ISERROR(SEARCH("On Track",G142)))</formula>
    </cfRule>
    <cfRule type="containsText" dxfId="291" priority="290" operator="containsText" text="Completed">
      <formula>NOT(ISERROR(SEARCH("Completed",G142)))</formula>
    </cfRule>
    <cfRule type="containsBlanks" dxfId="290" priority="291">
      <formula>LEN(TRIM(G142))=0</formula>
    </cfRule>
  </conditionalFormatting>
  <conditionalFormatting sqref="G142:G143">
    <cfRule type="containsText" dxfId="289" priority="287" operator="containsText" text="Not started">
      <formula>NOT(ISERROR(SEARCH("Not started",G142)))</formula>
    </cfRule>
  </conditionalFormatting>
  <conditionalFormatting sqref="N142:N148">
    <cfRule type="containsText" dxfId="288" priority="284" operator="containsText" text="Late">
      <formula>NOT(ISERROR(SEARCH("Late",N142)))</formula>
    </cfRule>
    <cfRule type="containsText" dxfId="287" priority="285" operator="containsText" text="Completed">
      <formula>NOT(ISERROR(SEARCH("Completed",N142)))</formula>
    </cfRule>
    <cfRule type="containsBlanks" dxfId="286" priority="286">
      <formula>LEN(TRIM(N142))=0</formula>
    </cfRule>
  </conditionalFormatting>
  <conditionalFormatting sqref="N142:N148">
    <cfRule type="containsText" dxfId="285" priority="283" operator="containsText" text="n/a">
      <formula>NOT(ISERROR(SEARCH("n/a",N142)))</formula>
    </cfRule>
  </conditionalFormatting>
  <conditionalFormatting sqref="J141:J147">
    <cfRule type="cellIs" dxfId="284" priority="282" operator="equal">
      <formula>""</formula>
    </cfRule>
  </conditionalFormatting>
  <conditionalFormatting sqref="J148">
    <cfRule type="cellIs" dxfId="283" priority="281" operator="equal">
      <formula>""</formula>
    </cfRule>
  </conditionalFormatting>
  <conditionalFormatting sqref="I148">
    <cfRule type="cellIs" dxfId="282" priority="280" operator="equal">
      <formula>""</formula>
    </cfRule>
  </conditionalFormatting>
  <conditionalFormatting sqref="I199:J199">
    <cfRule type="cellIs" dxfId="281" priority="279" operator="equal">
      <formula>""</formula>
    </cfRule>
  </conditionalFormatting>
  <conditionalFormatting sqref="G199">
    <cfRule type="containsText" dxfId="280" priority="275" operator="containsText" text="Require attention">
      <formula>NOT(ISERROR(SEARCH("Require attention",G199)))</formula>
    </cfRule>
    <cfRule type="containsText" dxfId="279" priority="276" operator="containsText" text="On Track">
      <formula>NOT(ISERROR(SEARCH("On Track",G199)))</formula>
    </cfRule>
    <cfRule type="containsText" dxfId="278" priority="277" operator="containsText" text="Completed">
      <formula>NOT(ISERROR(SEARCH("Completed",G199)))</formula>
    </cfRule>
    <cfRule type="containsBlanks" dxfId="277" priority="278">
      <formula>LEN(TRIM(G199))=0</formula>
    </cfRule>
  </conditionalFormatting>
  <conditionalFormatting sqref="G199">
    <cfRule type="containsText" dxfId="276" priority="274" operator="containsText" text="Not started">
      <formula>NOT(ISERROR(SEARCH("Not started",G199)))</formula>
    </cfRule>
  </conditionalFormatting>
  <conditionalFormatting sqref="N199">
    <cfRule type="containsText" dxfId="275" priority="271" operator="containsText" text="Late">
      <formula>NOT(ISERROR(SEARCH("Late",N199)))</formula>
    </cfRule>
    <cfRule type="containsText" dxfId="274" priority="272" operator="containsText" text="Completed">
      <formula>NOT(ISERROR(SEARCH("Completed",N199)))</formula>
    </cfRule>
    <cfRule type="containsBlanks" dxfId="273" priority="273">
      <formula>LEN(TRIM(N199))=0</formula>
    </cfRule>
  </conditionalFormatting>
  <conditionalFormatting sqref="N199">
    <cfRule type="containsText" dxfId="272" priority="270" operator="containsText" text="n/a">
      <formula>NOT(ISERROR(SEARCH("n/a",N199)))</formula>
    </cfRule>
  </conditionalFormatting>
  <conditionalFormatting sqref="G123">
    <cfRule type="containsText" dxfId="271" priority="266" operator="containsText" text="Require attention">
      <formula>NOT(ISERROR(SEARCH("Require attention",G123)))</formula>
    </cfRule>
    <cfRule type="containsText" dxfId="270" priority="267" operator="containsText" text="On Track">
      <formula>NOT(ISERROR(SEARCH("On Track",G123)))</formula>
    </cfRule>
    <cfRule type="containsText" dxfId="269" priority="268" operator="containsText" text="Completed">
      <formula>NOT(ISERROR(SEARCH("Completed",G123)))</formula>
    </cfRule>
    <cfRule type="containsBlanks" dxfId="268" priority="269">
      <formula>LEN(TRIM(G123))=0</formula>
    </cfRule>
  </conditionalFormatting>
  <conditionalFormatting sqref="G123">
    <cfRule type="containsText" dxfId="267" priority="265" operator="containsText" text="Not started">
      <formula>NOT(ISERROR(SEARCH("Not started",G123)))</formula>
    </cfRule>
  </conditionalFormatting>
  <conditionalFormatting sqref="I123">
    <cfRule type="cellIs" dxfId="266" priority="264" operator="equal">
      <formula>""</formula>
    </cfRule>
  </conditionalFormatting>
  <conditionalFormatting sqref="J123">
    <cfRule type="cellIs" dxfId="265" priority="263" operator="equal">
      <formula>""</formula>
    </cfRule>
  </conditionalFormatting>
  <conditionalFormatting sqref="N123">
    <cfRule type="containsText" dxfId="264" priority="260" operator="containsText" text="Late">
      <formula>NOT(ISERROR(SEARCH("Late",N123)))</formula>
    </cfRule>
    <cfRule type="containsText" dxfId="263" priority="261" operator="containsText" text="Completed">
      <formula>NOT(ISERROR(SEARCH("Completed",N123)))</formula>
    </cfRule>
    <cfRule type="containsBlanks" dxfId="262" priority="262">
      <formula>LEN(TRIM(N123))=0</formula>
    </cfRule>
  </conditionalFormatting>
  <conditionalFormatting sqref="N123">
    <cfRule type="containsText" dxfId="261" priority="259" operator="containsText" text="n/a">
      <formula>NOT(ISERROR(SEARCH("n/a",N123)))</formula>
    </cfRule>
  </conditionalFormatting>
  <conditionalFormatting sqref="I188">
    <cfRule type="cellIs" dxfId="260" priority="258" operator="equal">
      <formula>""</formula>
    </cfRule>
  </conditionalFormatting>
  <conditionalFormatting sqref="I188">
    <cfRule type="cellIs" dxfId="259" priority="257" operator="equal">
      <formula>""</formula>
    </cfRule>
  </conditionalFormatting>
  <conditionalFormatting sqref="I188">
    <cfRule type="cellIs" dxfId="258" priority="256" operator="equal">
      <formula>""</formula>
    </cfRule>
  </conditionalFormatting>
  <conditionalFormatting sqref="J87">
    <cfRule type="cellIs" dxfId="257" priority="255" operator="equal">
      <formula>""</formula>
    </cfRule>
  </conditionalFormatting>
  <conditionalFormatting sqref="G87">
    <cfRule type="containsText" dxfId="256" priority="251" operator="containsText" text="Require attention">
      <formula>NOT(ISERROR(SEARCH("Require attention",G87)))</formula>
    </cfRule>
    <cfRule type="containsText" dxfId="255" priority="252" operator="containsText" text="On Track">
      <formula>NOT(ISERROR(SEARCH("On Track",G87)))</formula>
    </cfRule>
    <cfRule type="containsText" dxfId="254" priority="253" operator="containsText" text="Completed">
      <formula>NOT(ISERROR(SEARCH("Completed",G87)))</formula>
    </cfRule>
    <cfRule type="containsBlanks" dxfId="253" priority="254">
      <formula>LEN(TRIM(G87))=0</formula>
    </cfRule>
  </conditionalFormatting>
  <conditionalFormatting sqref="G87">
    <cfRule type="containsText" dxfId="252" priority="250" operator="containsText" text="Not started">
      <formula>NOT(ISERROR(SEARCH("Not started",G87)))</formula>
    </cfRule>
  </conditionalFormatting>
  <conditionalFormatting sqref="N87">
    <cfRule type="containsText" dxfId="251" priority="247" operator="containsText" text="Late">
      <formula>NOT(ISERROR(SEARCH("Late",N87)))</formula>
    </cfRule>
    <cfRule type="containsText" dxfId="250" priority="248" operator="containsText" text="Completed">
      <formula>NOT(ISERROR(SEARCH("Completed",N87)))</formula>
    </cfRule>
    <cfRule type="containsBlanks" dxfId="249" priority="249">
      <formula>LEN(TRIM(N87))=0</formula>
    </cfRule>
  </conditionalFormatting>
  <conditionalFormatting sqref="N87">
    <cfRule type="containsText" dxfId="248" priority="246" operator="containsText" text="n/a">
      <formula>NOT(ISERROR(SEARCH("n/a",N87)))</formula>
    </cfRule>
  </conditionalFormatting>
  <conditionalFormatting sqref="J82:J86">
    <cfRule type="cellIs" dxfId="247" priority="245" operator="equal">
      <formula>""</formula>
    </cfRule>
  </conditionalFormatting>
  <conditionalFormatting sqref="J135">
    <cfRule type="cellIs" dxfId="246" priority="244" operator="equal">
      <formula>""</formula>
    </cfRule>
  </conditionalFormatting>
  <conditionalFormatting sqref="G135">
    <cfRule type="containsText" dxfId="245" priority="240" operator="containsText" text="Require attention">
      <formula>NOT(ISERROR(SEARCH("Require attention",G135)))</formula>
    </cfRule>
    <cfRule type="containsText" dxfId="244" priority="241" operator="containsText" text="On Track">
      <formula>NOT(ISERROR(SEARCH("On Track",G135)))</formula>
    </cfRule>
    <cfRule type="containsText" dxfId="243" priority="242" operator="containsText" text="Completed">
      <formula>NOT(ISERROR(SEARCH("Completed",G135)))</formula>
    </cfRule>
    <cfRule type="containsBlanks" dxfId="242" priority="243">
      <formula>LEN(TRIM(G135))=0</formula>
    </cfRule>
  </conditionalFormatting>
  <conditionalFormatting sqref="G135">
    <cfRule type="containsText" dxfId="241" priority="239" operator="containsText" text="Not started">
      <formula>NOT(ISERROR(SEARCH("Not started",G135)))</formula>
    </cfRule>
  </conditionalFormatting>
  <conditionalFormatting sqref="N135">
    <cfRule type="containsText" dxfId="240" priority="236" operator="containsText" text="Late">
      <formula>NOT(ISERROR(SEARCH("Late",N135)))</formula>
    </cfRule>
    <cfRule type="containsText" dxfId="239" priority="237" operator="containsText" text="Completed">
      <formula>NOT(ISERROR(SEARCH("Completed",N135)))</formula>
    </cfRule>
    <cfRule type="containsBlanks" dxfId="238" priority="238">
      <formula>LEN(TRIM(N135))=0</formula>
    </cfRule>
  </conditionalFormatting>
  <conditionalFormatting sqref="N135">
    <cfRule type="containsText" dxfId="237" priority="235" operator="containsText" text="n/a">
      <formula>NOT(ISERROR(SEARCH("n/a",N135)))</formula>
    </cfRule>
  </conditionalFormatting>
  <conditionalFormatting sqref="J130:J134">
    <cfRule type="cellIs" dxfId="236" priority="234" operator="equal">
      <formula>""</formula>
    </cfRule>
  </conditionalFormatting>
  <conditionalFormatting sqref="I135">
    <cfRule type="cellIs" dxfId="235" priority="233" operator="equal">
      <formula>""</formula>
    </cfRule>
  </conditionalFormatting>
  <conditionalFormatting sqref="I87">
    <cfRule type="cellIs" dxfId="234" priority="232" operator="equal">
      <formula>""</formula>
    </cfRule>
  </conditionalFormatting>
  <conditionalFormatting sqref="J183">
    <cfRule type="cellIs" dxfId="233" priority="231" operator="equal">
      <formula>""</formula>
    </cfRule>
  </conditionalFormatting>
  <conditionalFormatting sqref="J184">
    <cfRule type="cellIs" dxfId="232" priority="230" operator="equal">
      <formula>""</formula>
    </cfRule>
  </conditionalFormatting>
  <conditionalFormatting sqref="J185">
    <cfRule type="cellIs" dxfId="231" priority="229" operator="equal">
      <formula>""</formula>
    </cfRule>
  </conditionalFormatting>
  <conditionalFormatting sqref="J185">
    <cfRule type="cellIs" dxfId="230" priority="228" operator="equal">
      <formula>""</formula>
    </cfRule>
  </conditionalFormatting>
  <conditionalFormatting sqref="J186">
    <cfRule type="cellIs" dxfId="229" priority="227" operator="equal">
      <formula>""</formula>
    </cfRule>
  </conditionalFormatting>
  <conditionalFormatting sqref="G128">
    <cfRule type="containsText" dxfId="228" priority="223" operator="containsText" text="Require attention">
      <formula>NOT(ISERROR(SEARCH("Require attention",G128)))</formula>
    </cfRule>
    <cfRule type="containsText" dxfId="227" priority="224" operator="containsText" text="On Track">
      <formula>NOT(ISERROR(SEARCH("On Track",G128)))</formula>
    </cfRule>
    <cfRule type="containsText" dxfId="226" priority="225" operator="containsText" text="Completed">
      <formula>NOT(ISERROR(SEARCH("Completed",G128)))</formula>
    </cfRule>
    <cfRule type="containsBlanks" dxfId="225" priority="226">
      <formula>LEN(TRIM(G128))=0</formula>
    </cfRule>
  </conditionalFormatting>
  <conditionalFormatting sqref="G128">
    <cfRule type="containsText" dxfId="224" priority="222" operator="containsText" text="Not started">
      <formula>NOT(ISERROR(SEARCH("Not started",G128)))</formula>
    </cfRule>
  </conditionalFormatting>
  <conditionalFormatting sqref="N128">
    <cfRule type="containsText" dxfId="223" priority="219" operator="containsText" text="Late">
      <formula>NOT(ISERROR(SEARCH("Late",N128)))</formula>
    </cfRule>
    <cfRule type="containsText" dxfId="222" priority="220" operator="containsText" text="Completed">
      <formula>NOT(ISERROR(SEARCH("Completed",N128)))</formula>
    </cfRule>
    <cfRule type="containsBlanks" dxfId="221" priority="221">
      <formula>LEN(TRIM(N128))=0</formula>
    </cfRule>
  </conditionalFormatting>
  <conditionalFormatting sqref="N128">
    <cfRule type="containsText" dxfId="220" priority="218" operator="containsText" text="n/a">
      <formula>NOT(ISERROR(SEARCH("n/a",N128)))</formula>
    </cfRule>
  </conditionalFormatting>
  <conditionalFormatting sqref="J128">
    <cfRule type="cellIs" dxfId="219" priority="217" operator="equal">
      <formula>""</formula>
    </cfRule>
  </conditionalFormatting>
  <conditionalFormatting sqref="I88">
    <cfRule type="cellIs" dxfId="218" priority="216" operator="equal">
      <formula>""</formula>
    </cfRule>
  </conditionalFormatting>
  <conditionalFormatting sqref="I128">
    <cfRule type="cellIs" dxfId="217" priority="215" operator="equal">
      <formula>""</formula>
    </cfRule>
  </conditionalFormatting>
  <conditionalFormatting sqref="G88">
    <cfRule type="containsText" dxfId="216" priority="211" operator="containsText" text="Require attention">
      <formula>NOT(ISERROR(SEARCH("Require attention",G88)))</formula>
    </cfRule>
    <cfRule type="containsText" dxfId="215" priority="212" operator="containsText" text="On Track">
      <formula>NOT(ISERROR(SEARCH("On Track",G88)))</formula>
    </cfRule>
    <cfRule type="containsText" dxfId="214" priority="213" operator="containsText" text="Completed">
      <formula>NOT(ISERROR(SEARCH("Completed",G88)))</formula>
    </cfRule>
    <cfRule type="containsBlanks" dxfId="213" priority="214">
      <formula>LEN(TRIM(G88))=0</formula>
    </cfRule>
  </conditionalFormatting>
  <conditionalFormatting sqref="G88">
    <cfRule type="containsText" dxfId="212" priority="210" operator="containsText" text="Not started">
      <formula>NOT(ISERROR(SEARCH("Not started",G88)))</formula>
    </cfRule>
  </conditionalFormatting>
  <conditionalFormatting sqref="N88">
    <cfRule type="containsText" dxfId="211" priority="207" operator="containsText" text="Late">
      <formula>NOT(ISERROR(SEARCH("Late",N88)))</formula>
    </cfRule>
    <cfRule type="containsText" dxfId="210" priority="208" operator="containsText" text="Completed">
      <formula>NOT(ISERROR(SEARCH("Completed",N88)))</formula>
    </cfRule>
    <cfRule type="containsBlanks" dxfId="209" priority="209">
      <formula>LEN(TRIM(N88))=0</formula>
    </cfRule>
  </conditionalFormatting>
  <conditionalFormatting sqref="N88">
    <cfRule type="containsText" dxfId="208" priority="206" operator="containsText" text="n/a">
      <formula>NOT(ISERROR(SEARCH("n/a",N88)))</formula>
    </cfRule>
  </conditionalFormatting>
  <conditionalFormatting sqref="J88">
    <cfRule type="cellIs" dxfId="207" priority="205" operator="equal">
      <formula>""</formula>
    </cfRule>
  </conditionalFormatting>
  <conditionalFormatting sqref="J58">
    <cfRule type="cellIs" dxfId="206" priority="204" operator="equal">
      <formula>""</formula>
    </cfRule>
  </conditionalFormatting>
  <conditionalFormatting sqref="G58">
    <cfRule type="containsText" dxfId="205" priority="200" operator="containsText" text="Require attention">
      <formula>NOT(ISERROR(SEARCH("Require attention",G58)))</formula>
    </cfRule>
    <cfRule type="containsText" dxfId="204" priority="201" operator="containsText" text="On Track">
      <formula>NOT(ISERROR(SEARCH("On Track",G58)))</formula>
    </cfRule>
    <cfRule type="containsText" dxfId="203" priority="202" operator="containsText" text="Completed">
      <formula>NOT(ISERROR(SEARCH("Completed",G58)))</formula>
    </cfRule>
    <cfRule type="containsBlanks" dxfId="202" priority="203">
      <formula>LEN(TRIM(G58))=0</formula>
    </cfRule>
  </conditionalFormatting>
  <conditionalFormatting sqref="G58">
    <cfRule type="containsText" dxfId="201" priority="199" operator="containsText" text="Not started">
      <formula>NOT(ISERROR(SEARCH("Not started",G58)))</formula>
    </cfRule>
  </conditionalFormatting>
  <conditionalFormatting sqref="J58">
    <cfRule type="cellIs" dxfId="200" priority="198" operator="equal">
      <formula>""</formula>
    </cfRule>
  </conditionalFormatting>
  <conditionalFormatting sqref="N58">
    <cfRule type="containsText" dxfId="199" priority="195" operator="containsText" text="Late">
      <formula>NOT(ISERROR(SEARCH("Late",N58)))</formula>
    </cfRule>
    <cfRule type="containsText" dxfId="198" priority="196" operator="containsText" text="Completed">
      <formula>NOT(ISERROR(SEARCH("Completed",N58)))</formula>
    </cfRule>
    <cfRule type="containsBlanks" dxfId="197" priority="197">
      <formula>LEN(TRIM(N58))=0</formula>
    </cfRule>
  </conditionalFormatting>
  <conditionalFormatting sqref="N58">
    <cfRule type="containsText" dxfId="196" priority="194" operator="containsText" text="n/a">
      <formula>NOT(ISERROR(SEARCH("n/a",N58)))</formula>
    </cfRule>
  </conditionalFormatting>
  <conditionalFormatting sqref="J59">
    <cfRule type="cellIs" dxfId="195" priority="193" operator="equal">
      <formula>""</formula>
    </cfRule>
  </conditionalFormatting>
  <conditionalFormatting sqref="G60">
    <cfRule type="containsText" dxfId="194" priority="189" operator="containsText" text="Require attention">
      <formula>NOT(ISERROR(SEARCH("Require attention",G60)))</formula>
    </cfRule>
    <cfRule type="containsText" dxfId="193" priority="190" operator="containsText" text="On Track">
      <formula>NOT(ISERROR(SEARCH("On Track",G60)))</formula>
    </cfRule>
    <cfRule type="containsText" dxfId="192" priority="191" operator="containsText" text="Completed">
      <formula>NOT(ISERROR(SEARCH("Completed",G60)))</formula>
    </cfRule>
    <cfRule type="containsBlanks" dxfId="191" priority="192">
      <formula>LEN(TRIM(G60))=0</formula>
    </cfRule>
  </conditionalFormatting>
  <conditionalFormatting sqref="G60">
    <cfRule type="containsText" dxfId="190" priority="188" operator="containsText" text="Not started">
      <formula>NOT(ISERROR(SEARCH("Not started",G60)))</formula>
    </cfRule>
  </conditionalFormatting>
  <conditionalFormatting sqref="N60">
    <cfRule type="containsText" dxfId="189" priority="185" operator="containsText" text="Late">
      <formula>NOT(ISERROR(SEARCH("Late",N60)))</formula>
    </cfRule>
    <cfRule type="containsText" dxfId="188" priority="186" operator="containsText" text="Completed">
      <formula>NOT(ISERROR(SEARCH("Completed",N60)))</formula>
    </cfRule>
    <cfRule type="containsBlanks" dxfId="187" priority="187">
      <formula>LEN(TRIM(N60))=0</formula>
    </cfRule>
  </conditionalFormatting>
  <conditionalFormatting sqref="N60">
    <cfRule type="containsText" dxfId="186" priority="184" operator="containsText" text="n/a">
      <formula>NOT(ISERROR(SEARCH("n/a",N60)))</formula>
    </cfRule>
  </conditionalFormatting>
  <conditionalFormatting sqref="G57">
    <cfRule type="containsText" dxfId="185" priority="180" operator="containsText" text="Require attention">
      <formula>NOT(ISERROR(SEARCH("Require attention",G57)))</formula>
    </cfRule>
    <cfRule type="containsText" dxfId="184" priority="181" operator="containsText" text="On Track">
      <formula>NOT(ISERROR(SEARCH("On Track",G57)))</formula>
    </cfRule>
    <cfRule type="containsText" dxfId="183" priority="182" operator="containsText" text="Completed">
      <formula>NOT(ISERROR(SEARCH("Completed",G57)))</formula>
    </cfRule>
    <cfRule type="containsBlanks" dxfId="182" priority="183">
      <formula>LEN(TRIM(G57))=0</formula>
    </cfRule>
  </conditionalFormatting>
  <conditionalFormatting sqref="G57">
    <cfRule type="containsText" dxfId="181" priority="179" operator="containsText" text="Not started">
      <formula>NOT(ISERROR(SEARCH("Not started",G57)))</formula>
    </cfRule>
  </conditionalFormatting>
  <conditionalFormatting sqref="N57">
    <cfRule type="containsText" dxfId="180" priority="176" operator="containsText" text="Late">
      <formula>NOT(ISERROR(SEARCH("Late",N57)))</formula>
    </cfRule>
    <cfRule type="containsText" dxfId="179" priority="177" operator="containsText" text="Completed">
      <formula>NOT(ISERROR(SEARCH("Completed",N57)))</formula>
    </cfRule>
    <cfRule type="containsBlanks" dxfId="178" priority="178">
      <formula>LEN(TRIM(N57))=0</formula>
    </cfRule>
  </conditionalFormatting>
  <conditionalFormatting sqref="N57">
    <cfRule type="containsText" dxfId="177" priority="175" operator="containsText" text="n/a">
      <formula>NOT(ISERROR(SEARCH("n/a",N57)))</formula>
    </cfRule>
  </conditionalFormatting>
  <conditionalFormatting sqref="I57">
    <cfRule type="cellIs" dxfId="176" priority="174" operator="equal">
      <formula>""</formula>
    </cfRule>
  </conditionalFormatting>
  <conditionalFormatting sqref="J60">
    <cfRule type="cellIs" dxfId="175" priority="173" operator="equal">
      <formula>""</formula>
    </cfRule>
  </conditionalFormatting>
  <conditionalFormatting sqref="G59">
    <cfRule type="containsText" dxfId="174" priority="169" operator="containsText" text="Require attention">
      <formula>NOT(ISERROR(SEARCH("Require attention",G59)))</formula>
    </cfRule>
    <cfRule type="containsText" dxfId="173" priority="170" operator="containsText" text="On Track">
      <formula>NOT(ISERROR(SEARCH("On Track",G59)))</formula>
    </cfRule>
    <cfRule type="containsText" dxfId="172" priority="171" operator="containsText" text="Completed">
      <formula>NOT(ISERROR(SEARCH("Completed",G59)))</formula>
    </cfRule>
    <cfRule type="containsBlanks" dxfId="171" priority="172">
      <formula>LEN(TRIM(G59))=0</formula>
    </cfRule>
  </conditionalFormatting>
  <conditionalFormatting sqref="G59">
    <cfRule type="containsText" dxfId="170" priority="168" operator="containsText" text="Not started">
      <formula>NOT(ISERROR(SEARCH("Not started",G59)))</formula>
    </cfRule>
  </conditionalFormatting>
  <conditionalFormatting sqref="N59">
    <cfRule type="containsText" dxfId="169" priority="165" operator="containsText" text="Late">
      <formula>NOT(ISERROR(SEARCH("Late",N59)))</formula>
    </cfRule>
    <cfRule type="containsText" dxfId="168" priority="166" operator="containsText" text="Completed">
      <formula>NOT(ISERROR(SEARCH("Completed",N59)))</formula>
    </cfRule>
    <cfRule type="containsBlanks" dxfId="167" priority="167">
      <formula>LEN(TRIM(N59))=0</formula>
    </cfRule>
  </conditionalFormatting>
  <conditionalFormatting sqref="N59">
    <cfRule type="containsText" dxfId="166" priority="164" operator="containsText" text="n/a">
      <formula>NOT(ISERROR(SEARCH("n/a",N59)))</formula>
    </cfRule>
  </conditionalFormatting>
  <conditionalFormatting sqref="I59">
    <cfRule type="cellIs" dxfId="165" priority="163" operator="equal">
      <formula>""</formula>
    </cfRule>
  </conditionalFormatting>
  <conditionalFormatting sqref="M74">
    <cfRule type="cellIs" dxfId="164" priority="162" operator="equal">
      <formula>""</formula>
    </cfRule>
  </conditionalFormatting>
  <conditionalFormatting sqref="M52">
    <cfRule type="cellIs" dxfId="163" priority="161" operator="equal">
      <formula>""</formula>
    </cfRule>
  </conditionalFormatting>
  <conditionalFormatting sqref="M81 M55 M102 M206:M207 M162:M164 M216:M226 M149:M159 M63:M73 M178:M184 M186 M4:M15 M19:M34">
    <cfRule type="cellIs" dxfId="162" priority="160" operator="equal">
      <formula>""</formula>
    </cfRule>
  </conditionalFormatting>
  <conditionalFormatting sqref="M54">
    <cfRule type="cellIs" dxfId="161" priority="159" operator="equal">
      <formula>""</formula>
    </cfRule>
  </conditionalFormatting>
  <conditionalFormatting sqref="M98 M191:M198">
    <cfRule type="cellIs" dxfId="160" priority="158" operator="equal">
      <formula>""</formula>
    </cfRule>
  </conditionalFormatting>
  <conditionalFormatting sqref="M95">
    <cfRule type="cellIs" dxfId="159" priority="157" operator="equal">
      <formula>""</formula>
    </cfRule>
  </conditionalFormatting>
  <conditionalFormatting sqref="M183:M184">
    <cfRule type="cellIs" dxfId="158" priority="156" operator="equal">
      <formula>""</formula>
    </cfRule>
  </conditionalFormatting>
  <conditionalFormatting sqref="M112">
    <cfRule type="cellIs" dxfId="157" priority="155" operator="equal">
      <formula>""</formula>
    </cfRule>
  </conditionalFormatting>
  <conditionalFormatting sqref="M116">
    <cfRule type="cellIs" dxfId="156" priority="154" operator="equal">
      <formula>""</formula>
    </cfRule>
  </conditionalFormatting>
  <conditionalFormatting sqref="M56">
    <cfRule type="cellIs" dxfId="155" priority="153" operator="equal">
      <formula>""</formula>
    </cfRule>
  </conditionalFormatting>
  <conditionalFormatting sqref="M179:M182">
    <cfRule type="cellIs" dxfId="154" priority="152" operator="equal">
      <formula>""</formula>
    </cfRule>
  </conditionalFormatting>
  <conditionalFormatting sqref="M56">
    <cfRule type="cellIs" dxfId="153" priority="151" operator="equal">
      <formula>""</formula>
    </cfRule>
  </conditionalFormatting>
  <conditionalFormatting sqref="M186 M129 M170:M173 M166:M168">
    <cfRule type="cellIs" dxfId="152" priority="150" operator="equal">
      <formula>""</formula>
    </cfRule>
  </conditionalFormatting>
  <conditionalFormatting sqref="M54">
    <cfRule type="cellIs" dxfId="151" priority="149" operator="equal">
      <formula>""</formula>
    </cfRule>
  </conditionalFormatting>
  <conditionalFormatting sqref="M75">
    <cfRule type="cellIs" dxfId="150" priority="148" operator="equal">
      <formula>""</formula>
    </cfRule>
  </conditionalFormatting>
  <conditionalFormatting sqref="M51">
    <cfRule type="cellIs" dxfId="149" priority="147" operator="equal">
      <formula>""</formula>
    </cfRule>
  </conditionalFormatting>
  <conditionalFormatting sqref="M114">
    <cfRule type="cellIs" dxfId="148" priority="146" operator="equal">
      <formula>""</formula>
    </cfRule>
  </conditionalFormatting>
  <conditionalFormatting sqref="M77">
    <cfRule type="cellIs" dxfId="147" priority="145" operator="equal">
      <formula>""</formula>
    </cfRule>
  </conditionalFormatting>
  <conditionalFormatting sqref="M96">
    <cfRule type="cellIs" dxfId="146" priority="144" operator="equal">
      <formula>""</formula>
    </cfRule>
  </conditionalFormatting>
  <conditionalFormatting sqref="M80">
    <cfRule type="cellIs" dxfId="145" priority="143" operator="equal">
      <formula>""</formula>
    </cfRule>
  </conditionalFormatting>
  <conditionalFormatting sqref="M79">
    <cfRule type="cellIs" dxfId="144" priority="142" operator="equal">
      <formula>""</formula>
    </cfRule>
  </conditionalFormatting>
  <conditionalFormatting sqref="M78">
    <cfRule type="cellIs" dxfId="143" priority="141" operator="equal">
      <formula>""</formula>
    </cfRule>
  </conditionalFormatting>
  <conditionalFormatting sqref="M97">
    <cfRule type="cellIs" dxfId="142" priority="140" operator="equal">
      <formula>""</formula>
    </cfRule>
  </conditionalFormatting>
  <conditionalFormatting sqref="M99">
    <cfRule type="cellIs" dxfId="141" priority="139" operator="equal">
      <formula>""</formula>
    </cfRule>
  </conditionalFormatting>
  <conditionalFormatting sqref="M100">
    <cfRule type="cellIs" dxfId="140" priority="138" operator="equal">
      <formula>""</formula>
    </cfRule>
  </conditionalFormatting>
  <conditionalFormatting sqref="M101">
    <cfRule type="cellIs" dxfId="139" priority="137" operator="equal">
      <formula>""</formula>
    </cfRule>
  </conditionalFormatting>
  <conditionalFormatting sqref="M104">
    <cfRule type="cellIs" dxfId="138" priority="136" operator="equal">
      <formula>""</formula>
    </cfRule>
  </conditionalFormatting>
  <conditionalFormatting sqref="M105:M108">
    <cfRule type="cellIs" dxfId="137" priority="135" operator="equal">
      <formula>""</formula>
    </cfRule>
  </conditionalFormatting>
  <conditionalFormatting sqref="M103">
    <cfRule type="cellIs" dxfId="136" priority="134" operator="equal">
      <formula>""</formula>
    </cfRule>
  </conditionalFormatting>
  <conditionalFormatting sqref="M110">
    <cfRule type="cellIs" dxfId="135" priority="133" operator="equal">
      <formula>""</formula>
    </cfRule>
  </conditionalFormatting>
  <conditionalFormatting sqref="M111">
    <cfRule type="cellIs" dxfId="134" priority="132" operator="equal">
      <formula>""</formula>
    </cfRule>
  </conditionalFormatting>
  <conditionalFormatting sqref="M113">
    <cfRule type="cellIs" dxfId="133" priority="131" operator="equal">
      <formula>""</formula>
    </cfRule>
  </conditionalFormatting>
  <conditionalFormatting sqref="M127">
    <cfRule type="cellIs" dxfId="132" priority="130" operator="equal">
      <formula>""</formula>
    </cfRule>
  </conditionalFormatting>
  <conditionalFormatting sqref="M124:M126">
    <cfRule type="cellIs" dxfId="131" priority="129" operator="equal">
      <formula>""</formula>
    </cfRule>
  </conditionalFormatting>
  <conditionalFormatting sqref="M120">
    <cfRule type="cellIs" dxfId="130" priority="128" operator="equal">
      <formula>""</formula>
    </cfRule>
  </conditionalFormatting>
  <conditionalFormatting sqref="M117">
    <cfRule type="cellIs" dxfId="129" priority="127" operator="equal">
      <formula>""</formula>
    </cfRule>
  </conditionalFormatting>
  <conditionalFormatting sqref="M118">
    <cfRule type="cellIs" dxfId="128" priority="126" operator="equal">
      <formula>""</formula>
    </cfRule>
  </conditionalFormatting>
  <conditionalFormatting sqref="M119">
    <cfRule type="cellIs" dxfId="127" priority="125" operator="equal">
      <formula>""</formula>
    </cfRule>
  </conditionalFormatting>
  <conditionalFormatting sqref="M121">
    <cfRule type="cellIs" dxfId="126" priority="124" operator="equal">
      <formula>""</formula>
    </cfRule>
  </conditionalFormatting>
  <conditionalFormatting sqref="M122">
    <cfRule type="cellIs" dxfId="125" priority="123" operator="equal">
      <formula>""</formula>
    </cfRule>
  </conditionalFormatting>
  <conditionalFormatting sqref="M89">
    <cfRule type="cellIs" dxfId="124" priority="122" operator="equal">
      <formula>""</formula>
    </cfRule>
  </conditionalFormatting>
  <conditionalFormatting sqref="M90">
    <cfRule type="cellIs" dxfId="123" priority="121" operator="equal">
      <formula>""</formula>
    </cfRule>
  </conditionalFormatting>
  <conditionalFormatting sqref="M92">
    <cfRule type="cellIs" dxfId="122" priority="120" operator="equal">
      <formula>""</formula>
    </cfRule>
  </conditionalFormatting>
  <conditionalFormatting sqref="M91">
    <cfRule type="cellIs" dxfId="121" priority="119" operator="equal">
      <formula>""</formula>
    </cfRule>
  </conditionalFormatting>
  <conditionalFormatting sqref="M93">
    <cfRule type="cellIs" dxfId="120" priority="118" operator="equal">
      <formula>""</formula>
    </cfRule>
  </conditionalFormatting>
  <conditionalFormatting sqref="M165:M168">
    <cfRule type="cellIs" dxfId="119" priority="117" operator="equal">
      <formula>""</formula>
    </cfRule>
  </conditionalFormatting>
  <conditionalFormatting sqref="M169:M173">
    <cfRule type="cellIs" dxfId="118" priority="116" operator="equal">
      <formula>""</formula>
    </cfRule>
  </conditionalFormatting>
  <conditionalFormatting sqref="M165:M168">
    <cfRule type="cellIs" dxfId="117" priority="115" operator="equal">
      <formula>""</formula>
    </cfRule>
  </conditionalFormatting>
  <conditionalFormatting sqref="M174:M177">
    <cfRule type="cellIs" dxfId="116" priority="114" operator="equal">
      <formula>""</formula>
    </cfRule>
  </conditionalFormatting>
  <conditionalFormatting sqref="M160">
    <cfRule type="cellIs" dxfId="115" priority="113" operator="equal">
      <formula>""</formula>
    </cfRule>
  </conditionalFormatting>
  <conditionalFormatting sqref="M161">
    <cfRule type="cellIs" dxfId="114" priority="112" operator="equal">
      <formula>""</formula>
    </cfRule>
  </conditionalFormatting>
  <conditionalFormatting sqref="M115">
    <cfRule type="cellIs" dxfId="113" priority="111" operator="equal">
      <formula>""</formula>
    </cfRule>
  </conditionalFormatting>
  <conditionalFormatting sqref="M139">
    <cfRule type="cellIs" dxfId="112" priority="110" operator="equal">
      <formula>""</formula>
    </cfRule>
  </conditionalFormatting>
  <conditionalFormatting sqref="M76">
    <cfRule type="cellIs" dxfId="111" priority="109" operator="equal">
      <formula>""</formula>
    </cfRule>
  </conditionalFormatting>
  <conditionalFormatting sqref="M138">
    <cfRule type="cellIs" dxfId="110" priority="108" operator="equal">
      <formula>""</formula>
    </cfRule>
  </conditionalFormatting>
  <conditionalFormatting sqref="M137">
    <cfRule type="cellIs" dxfId="109" priority="107" operator="equal">
      <formula>""</formula>
    </cfRule>
  </conditionalFormatting>
  <conditionalFormatting sqref="M136">
    <cfRule type="cellIs" dxfId="108" priority="106" operator="equal">
      <formula>""</formula>
    </cfRule>
  </conditionalFormatting>
  <conditionalFormatting sqref="M187:M188">
    <cfRule type="cellIs" dxfId="107" priority="105" operator="equal">
      <formula>""</formula>
    </cfRule>
  </conditionalFormatting>
  <conditionalFormatting sqref="M187:M188">
    <cfRule type="cellIs" dxfId="106" priority="104" operator="equal">
      <formula>""</formula>
    </cfRule>
  </conditionalFormatting>
  <conditionalFormatting sqref="M187:M188">
    <cfRule type="cellIs" dxfId="105" priority="103" operator="equal">
      <formula>""</formula>
    </cfRule>
  </conditionalFormatting>
  <conditionalFormatting sqref="M200:M201 M203:M205">
    <cfRule type="cellIs" dxfId="104" priority="102" operator="equal">
      <formula>""</formula>
    </cfRule>
  </conditionalFormatting>
  <conditionalFormatting sqref="M200:M201 M203:M205">
    <cfRule type="cellIs" dxfId="103" priority="101" operator="equal">
      <formula>""</formula>
    </cfRule>
  </conditionalFormatting>
  <conditionalFormatting sqref="M189 M191:M198">
    <cfRule type="cellIs" dxfId="102" priority="100" operator="equal">
      <formula>""</formula>
    </cfRule>
  </conditionalFormatting>
  <conditionalFormatting sqref="M189 M191:M198">
    <cfRule type="cellIs" dxfId="101" priority="99" operator="equal">
      <formula>""</formula>
    </cfRule>
  </conditionalFormatting>
  <conditionalFormatting sqref="M189 M191:M198">
    <cfRule type="cellIs" dxfId="100" priority="98" operator="equal">
      <formula>""</formula>
    </cfRule>
  </conditionalFormatting>
  <conditionalFormatting sqref="M200:M201 M203:M205">
    <cfRule type="cellIs" dxfId="99" priority="97" operator="equal">
      <formula>""</formula>
    </cfRule>
  </conditionalFormatting>
  <conditionalFormatting sqref="M190">
    <cfRule type="cellIs" dxfId="98" priority="96" operator="equal">
      <formula>""</formula>
    </cfRule>
  </conditionalFormatting>
  <conditionalFormatting sqref="M190">
    <cfRule type="cellIs" dxfId="97" priority="95" operator="equal">
      <formula>""</formula>
    </cfRule>
  </conditionalFormatting>
  <conditionalFormatting sqref="M190">
    <cfRule type="cellIs" dxfId="96" priority="94" operator="equal">
      <formula>""</formula>
    </cfRule>
  </conditionalFormatting>
  <conditionalFormatting sqref="M202">
    <cfRule type="cellIs" dxfId="95" priority="93" operator="equal">
      <formula>""</formula>
    </cfRule>
  </conditionalFormatting>
  <conditionalFormatting sqref="M202">
    <cfRule type="cellIs" dxfId="94" priority="92" operator="equal">
      <formula>""</formula>
    </cfRule>
  </conditionalFormatting>
  <conditionalFormatting sqref="M202">
    <cfRule type="cellIs" dxfId="93" priority="91" operator="equal">
      <formula>""</formula>
    </cfRule>
  </conditionalFormatting>
  <conditionalFormatting sqref="M208">
    <cfRule type="cellIs" dxfId="92" priority="90" operator="equal">
      <formula>""</formula>
    </cfRule>
  </conditionalFormatting>
  <conditionalFormatting sqref="M209">
    <cfRule type="cellIs" dxfId="91" priority="89" operator="equal">
      <formula>""</formula>
    </cfRule>
  </conditionalFormatting>
  <conditionalFormatting sqref="M213">
    <cfRule type="cellIs" dxfId="90" priority="88" operator="equal">
      <formula>""</formula>
    </cfRule>
  </conditionalFormatting>
  <conditionalFormatting sqref="M211">
    <cfRule type="cellIs" dxfId="89" priority="87" operator="equal">
      <formula>""</formula>
    </cfRule>
  </conditionalFormatting>
  <conditionalFormatting sqref="M210">
    <cfRule type="cellIs" dxfId="88" priority="86" operator="equal">
      <formula>""</formula>
    </cfRule>
  </conditionalFormatting>
  <conditionalFormatting sqref="M109">
    <cfRule type="cellIs" dxfId="87" priority="85" operator="equal">
      <formula>""</formula>
    </cfRule>
  </conditionalFormatting>
  <conditionalFormatting sqref="M212">
    <cfRule type="cellIs" dxfId="86" priority="84" operator="equal">
      <formula>""</formula>
    </cfRule>
  </conditionalFormatting>
  <conditionalFormatting sqref="M212">
    <cfRule type="cellIs" dxfId="85" priority="83" operator="equal">
      <formula>""</formula>
    </cfRule>
  </conditionalFormatting>
  <conditionalFormatting sqref="M212">
    <cfRule type="cellIs" dxfId="84" priority="82" operator="equal">
      <formula>""</formula>
    </cfRule>
  </conditionalFormatting>
  <conditionalFormatting sqref="M213">
    <cfRule type="cellIs" dxfId="83" priority="81" operator="equal">
      <formula>""</formula>
    </cfRule>
  </conditionalFormatting>
  <conditionalFormatting sqref="M213">
    <cfRule type="cellIs" dxfId="82" priority="80" operator="equal">
      <formula>""</formula>
    </cfRule>
  </conditionalFormatting>
  <conditionalFormatting sqref="M214">
    <cfRule type="cellIs" dxfId="81" priority="79" operator="equal">
      <formula>""</formula>
    </cfRule>
  </conditionalFormatting>
  <conditionalFormatting sqref="M215">
    <cfRule type="cellIs" dxfId="80" priority="78" operator="equal">
      <formula>""</formula>
    </cfRule>
  </conditionalFormatting>
  <conditionalFormatting sqref="M94">
    <cfRule type="cellIs" dxfId="79" priority="77" operator="equal">
      <formula>""</formula>
    </cfRule>
  </conditionalFormatting>
  <conditionalFormatting sqref="M16:M18">
    <cfRule type="cellIs" dxfId="78" priority="76" operator="equal">
      <formula>""</formula>
    </cfRule>
  </conditionalFormatting>
  <conditionalFormatting sqref="M140">
    <cfRule type="cellIs" dxfId="77" priority="75" operator="equal">
      <formula>""</formula>
    </cfRule>
  </conditionalFormatting>
  <conditionalFormatting sqref="M141:M147">
    <cfRule type="cellIs" dxfId="76" priority="74" operator="equal">
      <formula>""</formula>
    </cfRule>
  </conditionalFormatting>
  <conditionalFormatting sqref="M148">
    <cfRule type="cellIs" dxfId="75" priority="73" operator="equal">
      <formula>""</formula>
    </cfRule>
  </conditionalFormatting>
  <conditionalFormatting sqref="M199">
    <cfRule type="cellIs" dxfId="74" priority="72" operator="equal">
      <formula>""</formula>
    </cfRule>
  </conditionalFormatting>
  <conditionalFormatting sqref="M123">
    <cfRule type="cellIs" dxfId="73" priority="71" operator="equal">
      <formula>""</formula>
    </cfRule>
  </conditionalFormatting>
  <conditionalFormatting sqref="M87">
    <cfRule type="cellIs" dxfId="72" priority="70" operator="equal">
      <formula>""</formula>
    </cfRule>
  </conditionalFormatting>
  <conditionalFormatting sqref="M82:M86">
    <cfRule type="cellIs" dxfId="71" priority="69" operator="equal">
      <formula>""</formula>
    </cfRule>
  </conditionalFormatting>
  <conditionalFormatting sqref="M135">
    <cfRule type="cellIs" dxfId="70" priority="68" operator="equal">
      <formula>""</formula>
    </cfRule>
  </conditionalFormatting>
  <conditionalFormatting sqref="M130:M134">
    <cfRule type="cellIs" dxfId="69" priority="67" operator="equal">
      <formula>""</formula>
    </cfRule>
  </conditionalFormatting>
  <conditionalFormatting sqref="M183">
    <cfRule type="cellIs" dxfId="68" priority="66" operator="equal">
      <formula>""</formula>
    </cfRule>
  </conditionalFormatting>
  <conditionalFormatting sqref="M184">
    <cfRule type="cellIs" dxfId="67" priority="65" operator="equal">
      <formula>""</formula>
    </cfRule>
  </conditionalFormatting>
  <conditionalFormatting sqref="M185">
    <cfRule type="cellIs" dxfId="66" priority="64" operator="equal">
      <formula>""</formula>
    </cfRule>
  </conditionalFormatting>
  <conditionalFormatting sqref="M185">
    <cfRule type="cellIs" dxfId="65" priority="63" operator="equal">
      <formula>""</formula>
    </cfRule>
  </conditionalFormatting>
  <conditionalFormatting sqref="M186">
    <cfRule type="cellIs" dxfId="64" priority="62" operator="equal">
      <formula>""</formula>
    </cfRule>
  </conditionalFormatting>
  <conditionalFormatting sqref="M128">
    <cfRule type="cellIs" dxfId="63" priority="61" operator="equal">
      <formula>""</formula>
    </cfRule>
  </conditionalFormatting>
  <conditionalFormatting sqref="M88">
    <cfRule type="cellIs" dxfId="62" priority="60" operator="equal">
      <formula>""</formula>
    </cfRule>
  </conditionalFormatting>
  <conditionalFormatting sqref="M58">
    <cfRule type="cellIs" dxfId="61" priority="59" operator="equal">
      <formula>""</formula>
    </cfRule>
  </conditionalFormatting>
  <conditionalFormatting sqref="M58">
    <cfRule type="cellIs" dxfId="60" priority="58" operator="equal">
      <formula>""</formula>
    </cfRule>
  </conditionalFormatting>
  <conditionalFormatting sqref="M57">
    <cfRule type="cellIs" dxfId="59" priority="57" operator="equal">
      <formula>""</formula>
    </cfRule>
  </conditionalFormatting>
  <conditionalFormatting sqref="M59">
    <cfRule type="cellIs" dxfId="58" priority="56" operator="equal">
      <formula>""</formula>
    </cfRule>
  </conditionalFormatting>
  <conditionalFormatting sqref="M60">
    <cfRule type="cellIs" dxfId="57" priority="55" operator="equal">
      <formula>""</formula>
    </cfRule>
  </conditionalFormatting>
  <conditionalFormatting sqref="I60">
    <cfRule type="cellIs" dxfId="56" priority="54" operator="equal">
      <formula>""</formula>
    </cfRule>
  </conditionalFormatting>
  <conditionalFormatting sqref="J57">
    <cfRule type="cellIs" dxfId="55" priority="53" operator="equal">
      <formula>""</formula>
    </cfRule>
  </conditionalFormatting>
  <conditionalFormatting sqref="I58">
    <cfRule type="cellIs" dxfId="54" priority="52" operator="equal">
      <formula>""</formula>
    </cfRule>
  </conditionalFormatting>
  <conditionalFormatting sqref="G61">
    <cfRule type="containsText" dxfId="53" priority="48" operator="containsText" text="Require attention">
      <formula>NOT(ISERROR(SEARCH("Require attention",G61)))</formula>
    </cfRule>
    <cfRule type="containsText" dxfId="52" priority="49" operator="containsText" text="On Track">
      <formula>NOT(ISERROR(SEARCH("On Track",G61)))</formula>
    </cfRule>
    <cfRule type="containsText" dxfId="51" priority="50" operator="containsText" text="Completed">
      <formula>NOT(ISERROR(SEARCH("Completed",G61)))</formula>
    </cfRule>
    <cfRule type="containsBlanks" dxfId="50" priority="51">
      <formula>LEN(TRIM(G61))=0</formula>
    </cfRule>
  </conditionalFormatting>
  <conditionalFormatting sqref="G61">
    <cfRule type="containsText" dxfId="49" priority="47" operator="containsText" text="Not started">
      <formula>NOT(ISERROR(SEARCH("Not started",G61)))</formula>
    </cfRule>
  </conditionalFormatting>
  <conditionalFormatting sqref="N61">
    <cfRule type="containsText" dxfId="48" priority="44" operator="containsText" text="Late">
      <formula>NOT(ISERROR(SEARCH("Late",N61)))</formula>
    </cfRule>
    <cfRule type="containsText" dxfId="47" priority="45" operator="containsText" text="Completed">
      <formula>NOT(ISERROR(SEARCH("Completed",N61)))</formula>
    </cfRule>
    <cfRule type="containsBlanks" dxfId="46" priority="46">
      <formula>LEN(TRIM(N61))=0</formula>
    </cfRule>
  </conditionalFormatting>
  <conditionalFormatting sqref="N61">
    <cfRule type="containsText" dxfId="45" priority="43" operator="containsText" text="n/a">
      <formula>NOT(ISERROR(SEARCH("n/a",N61)))</formula>
    </cfRule>
  </conditionalFormatting>
  <conditionalFormatting sqref="M61">
    <cfRule type="cellIs" dxfId="44" priority="42" operator="equal">
      <formula>""</formula>
    </cfRule>
  </conditionalFormatting>
  <conditionalFormatting sqref="J61">
    <cfRule type="cellIs" dxfId="43" priority="41" operator="equal">
      <formula>""</formula>
    </cfRule>
  </conditionalFormatting>
  <conditionalFormatting sqref="M62">
    <cfRule type="cellIs" dxfId="42" priority="40" operator="equal">
      <formula>""</formula>
    </cfRule>
  </conditionalFormatting>
  <conditionalFormatting sqref="I61">
    <cfRule type="cellIs" dxfId="41" priority="39" operator="equal">
      <formula>""</formula>
    </cfRule>
  </conditionalFormatting>
  <conditionalFormatting sqref="I61">
    <cfRule type="cellIs" dxfId="40" priority="38" operator="equal">
      <formula>""</formula>
    </cfRule>
  </conditionalFormatting>
  <conditionalFormatting sqref="G62">
    <cfRule type="containsText" dxfId="39" priority="34" operator="containsText" text="Require attention">
      <formula>NOT(ISERROR(SEARCH("Require attention",G62)))</formula>
    </cfRule>
    <cfRule type="containsText" dxfId="38" priority="35" operator="containsText" text="On Track">
      <formula>NOT(ISERROR(SEARCH("On Track",G62)))</formula>
    </cfRule>
    <cfRule type="containsText" dxfId="37" priority="36" operator="containsText" text="Completed">
      <formula>NOT(ISERROR(SEARCH("Completed",G62)))</formula>
    </cfRule>
    <cfRule type="containsBlanks" dxfId="36" priority="37">
      <formula>LEN(TRIM(G62))=0</formula>
    </cfRule>
  </conditionalFormatting>
  <conditionalFormatting sqref="G62">
    <cfRule type="containsText" dxfId="35" priority="33" operator="containsText" text="Not started">
      <formula>NOT(ISERROR(SEARCH("Not started",G62)))</formula>
    </cfRule>
  </conditionalFormatting>
  <conditionalFormatting sqref="I62">
    <cfRule type="cellIs" dxfId="34" priority="32" operator="equal">
      <formula>""</formula>
    </cfRule>
  </conditionalFormatting>
  <conditionalFormatting sqref="I62">
    <cfRule type="cellIs" dxfId="33" priority="31" operator="equal">
      <formula>""</formula>
    </cfRule>
  </conditionalFormatting>
  <conditionalFormatting sqref="N62">
    <cfRule type="containsText" dxfId="32" priority="28" operator="containsText" text="Late">
      <formula>NOT(ISERROR(SEARCH("Late",N62)))</formula>
    </cfRule>
    <cfRule type="containsText" dxfId="31" priority="29" operator="containsText" text="Completed">
      <formula>NOT(ISERROR(SEARCH("Completed",N62)))</formula>
    </cfRule>
    <cfRule type="containsBlanks" dxfId="30" priority="30">
      <formula>LEN(TRIM(N62))=0</formula>
    </cfRule>
  </conditionalFormatting>
  <conditionalFormatting sqref="N62">
    <cfRule type="containsText" dxfId="29" priority="27" operator="containsText" text="n/a">
      <formula>NOT(ISERROR(SEARCH("n/a",N62)))</formula>
    </cfRule>
  </conditionalFormatting>
  <conditionalFormatting sqref="M62">
    <cfRule type="cellIs" dxfId="28" priority="26" operator="equal">
      <formula>""</formula>
    </cfRule>
  </conditionalFormatting>
  <conditionalFormatting sqref="J62">
    <cfRule type="cellIs" dxfId="27" priority="25" operator="equal">
      <formula>""</formula>
    </cfRule>
  </conditionalFormatting>
  <conditionalFormatting sqref="J62">
    <cfRule type="cellIs" dxfId="26" priority="24" operator="equal">
      <formula>""</formula>
    </cfRule>
  </conditionalFormatting>
  <conditionalFormatting sqref="I54">
    <cfRule type="cellIs" dxfId="25" priority="23" operator="equal">
      <formula>""</formula>
    </cfRule>
  </conditionalFormatting>
  <conditionalFormatting sqref="I54">
    <cfRule type="cellIs" dxfId="24" priority="22" operator="equal">
      <formula>""</formula>
    </cfRule>
  </conditionalFormatting>
  <conditionalFormatting sqref="G35:G38">
    <cfRule type="containsText" dxfId="23" priority="18" operator="containsText" text="Require attention">
      <formula>NOT(ISERROR(SEARCH("Require attention",G35)))</formula>
    </cfRule>
    <cfRule type="containsText" dxfId="22" priority="19" operator="containsText" text="On Track">
      <formula>NOT(ISERROR(SEARCH("On Track",G35)))</formula>
    </cfRule>
    <cfRule type="containsText" dxfId="21" priority="20" operator="containsText" text="Completed">
      <formula>NOT(ISERROR(SEARCH("Completed",G35)))</formula>
    </cfRule>
    <cfRule type="containsBlanks" dxfId="20" priority="21">
      <formula>LEN(TRIM(G35))=0</formula>
    </cfRule>
  </conditionalFormatting>
  <conditionalFormatting sqref="G35:G38">
    <cfRule type="containsText" dxfId="19" priority="17" operator="containsText" text="Not started">
      <formula>NOT(ISERROR(SEARCH("Not started",G35)))</formula>
    </cfRule>
  </conditionalFormatting>
  <conditionalFormatting sqref="G39">
    <cfRule type="containsText" dxfId="18" priority="13" operator="containsText" text="Require attention">
      <formula>NOT(ISERROR(SEARCH("Require attention",G39)))</formula>
    </cfRule>
    <cfRule type="containsText" dxfId="17" priority="14" operator="containsText" text="On Track">
      <formula>NOT(ISERROR(SEARCH("On Track",G39)))</formula>
    </cfRule>
    <cfRule type="containsText" dxfId="16" priority="15" operator="containsText" text="Completed">
      <formula>NOT(ISERROR(SEARCH("Completed",G39)))</formula>
    </cfRule>
    <cfRule type="containsBlanks" dxfId="15" priority="16">
      <formula>LEN(TRIM(G39))=0</formula>
    </cfRule>
  </conditionalFormatting>
  <conditionalFormatting sqref="G39">
    <cfRule type="containsText" dxfId="14" priority="12" operator="containsText" text="Not started">
      <formula>NOT(ISERROR(SEARCH("Not started",G39)))</formula>
    </cfRule>
  </conditionalFormatting>
  <conditionalFormatting sqref="N35:N39">
    <cfRule type="containsText" dxfId="13" priority="9" operator="containsText" text="Late">
      <formula>NOT(ISERROR(SEARCH("Late",N35)))</formula>
    </cfRule>
    <cfRule type="containsText" dxfId="12" priority="10" operator="containsText" text="Completed">
      <formula>NOT(ISERROR(SEARCH("Completed",N35)))</formula>
    </cfRule>
    <cfRule type="containsBlanks" dxfId="11" priority="11">
      <formula>LEN(TRIM(N35))=0</formula>
    </cfRule>
  </conditionalFormatting>
  <conditionalFormatting sqref="N35:N39">
    <cfRule type="containsText" dxfId="10" priority="8" operator="containsText" text="n/a">
      <formula>NOT(ISERROR(SEARCH("n/a",N35)))</formula>
    </cfRule>
  </conditionalFormatting>
  <conditionalFormatting sqref="M37:M38">
    <cfRule type="cellIs" dxfId="9" priority="7" operator="equal">
      <formula>""</formula>
    </cfRule>
  </conditionalFormatting>
  <conditionalFormatting sqref="M35:M36">
    <cfRule type="cellIs" dxfId="8" priority="6" operator="equal">
      <formula>""</formula>
    </cfRule>
  </conditionalFormatting>
  <conditionalFormatting sqref="M39">
    <cfRule type="cellIs" dxfId="7" priority="5" operator="equal">
      <formula>""</formula>
    </cfRule>
  </conditionalFormatting>
  <conditionalFormatting sqref="I35">
    <cfRule type="cellIs" dxfId="6" priority="4" operator="equal">
      <formula>""</formula>
    </cfRule>
  </conditionalFormatting>
  <conditionalFormatting sqref="J35">
    <cfRule type="cellIs" dxfId="5" priority="3" operator="equal">
      <formula>""</formula>
    </cfRule>
  </conditionalFormatting>
  <conditionalFormatting sqref="I36:I39">
    <cfRule type="cellIs" dxfId="4" priority="2" operator="equal">
      <formula>""</formula>
    </cfRule>
  </conditionalFormatting>
  <conditionalFormatting sqref="J36:J39">
    <cfRule type="cellIs" dxfId="3" priority="1" operator="equal">
      <formula>""</formula>
    </cfRule>
  </conditionalFormatting>
  <dataValidations count="1">
    <dataValidation type="list" allowBlank="1" showInputMessage="1" showErrorMessage="1" sqref="G124:G126 G128:G226 G4:G122 N4:N226" xr:uid="{00000000-0002-0000-0700-000000000000}">
      <formula1>#REF!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ractice.UpdateReport">
                <anchor moveWithCells="1" sizeWithCells="1">
                  <from>
                    <xdr:col>9</xdr:col>
                    <xdr:colOff>76200</xdr:colOff>
                    <xdr:row>0</xdr:row>
                    <xdr:rowOff>38100</xdr:rowOff>
                  </from>
                  <to>
                    <xdr:col>11</xdr:col>
                    <xdr:colOff>304800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3"/>
  </sheetPr>
  <dimension ref="A1:H34"/>
  <sheetViews>
    <sheetView zoomScale="150" workbookViewId="0">
      <selection activeCell="B7" sqref="B7"/>
    </sheetView>
  </sheetViews>
  <sheetFormatPr baseColWidth="10" defaultColWidth="9" defaultRowHeight="15"/>
  <cols>
    <col min="1" max="1" width="17.5" style="22" bestFit="1" customWidth="1"/>
    <col min="2" max="2" width="12.5" style="22" bestFit="1" customWidth="1"/>
    <col min="3" max="3" width="11.6640625" style="22" bestFit="1" customWidth="1"/>
    <col min="4" max="4" width="9.5" style="22" bestFit="1" customWidth="1"/>
    <col min="5" max="5" width="7.5" style="22" bestFit="1" customWidth="1"/>
    <col min="6" max="6" width="15.1640625" style="22" bestFit="1" customWidth="1"/>
    <col min="7" max="7" width="13.1640625" style="22" customWidth="1"/>
    <col min="8" max="16384" width="9" style="22"/>
  </cols>
  <sheetData>
    <row r="1" spans="1:8">
      <c r="A1" s="82" t="s">
        <v>57</v>
      </c>
      <c r="B1" s="82" t="s">
        <v>69</v>
      </c>
      <c r="C1" s="82" t="s">
        <v>70</v>
      </c>
      <c r="D1" s="84" t="s">
        <v>60</v>
      </c>
      <c r="E1" s="85"/>
      <c r="F1" s="85"/>
      <c r="G1" s="85"/>
      <c r="H1" s="82" t="s">
        <v>71</v>
      </c>
    </row>
    <row r="2" spans="1:8">
      <c r="A2" s="83"/>
      <c r="B2" s="83"/>
      <c r="C2" s="83"/>
      <c r="D2" s="63" t="s">
        <v>18</v>
      </c>
      <c r="E2" s="63" t="s">
        <v>0</v>
      </c>
      <c r="F2" s="63" t="s">
        <v>72</v>
      </c>
      <c r="G2" s="63" t="s">
        <v>73</v>
      </c>
      <c r="H2" s="86"/>
    </row>
    <row r="3" spans="1:8">
      <c r="A3" s="80" t="s">
        <v>41</v>
      </c>
      <c r="B3" s="65">
        <v>42514</v>
      </c>
      <c r="C3" s="87">
        <v>42517</v>
      </c>
      <c r="D3" s="66">
        <v>0</v>
      </c>
      <c r="E3" s="66">
        <v>0</v>
      </c>
      <c r="F3" s="66">
        <v>0</v>
      </c>
      <c r="G3" s="66">
        <v>1</v>
      </c>
      <c r="H3" s="67">
        <f>SUM(D3:G3)</f>
        <v>1</v>
      </c>
    </row>
    <row r="4" spans="1:8">
      <c r="A4" s="68" t="s">
        <v>42</v>
      </c>
      <c r="B4" s="65">
        <v>42416</v>
      </c>
      <c r="C4" s="87">
        <v>42496</v>
      </c>
      <c r="D4" s="66">
        <v>0</v>
      </c>
      <c r="E4" s="66">
        <v>0</v>
      </c>
      <c r="F4" s="66">
        <v>0</v>
      </c>
      <c r="G4" s="66">
        <v>1</v>
      </c>
      <c r="H4" s="67">
        <f t="shared" ref="H4:H17" si="0">SUM(D4:G4)</f>
        <v>1</v>
      </c>
    </row>
    <row r="5" spans="1:8">
      <c r="A5" s="64" t="s">
        <v>43</v>
      </c>
      <c r="B5" s="65">
        <v>42464</v>
      </c>
      <c r="C5" s="87">
        <v>42517</v>
      </c>
      <c r="D5" s="66">
        <v>0</v>
      </c>
      <c r="E5" s="66">
        <v>0</v>
      </c>
      <c r="F5" s="66">
        <v>0</v>
      </c>
      <c r="G5" s="66">
        <v>1</v>
      </c>
      <c r="H5" s="67">
        <f t="shared" si="0"/>
        <v>1</v>
      </c>
    </row>
    <row r="6" spans="1:8">
      <c r="A6" s="64" t="s">
        <v>44</v>
      </c>
      <c r="B6" s="65">
        <v>42499</v>
      </c>
      <c r="C6" s="87">
        <v>42538</v>
      </c>
      <c r="D6" s="66">
        <v>0</v>
      </c>
      <c r="E6" s="66">
        <v>0</v>
      </c>
      <c r="F6" s="66">
        <v>0</v>
      </c>
      <c r="G6" s="66">
        <v>1</v>
      </c>
      <c r="H6" s="67">
        <f t="shared" si="0"/>
        <v>1</v>
      </c>
    </row>
    <row r="7" spans="1:8">
      <c r="A7" s="64" t="s">
        <v>45</v>
      </c>
      <c r="B7" s="65">
        <v>42527</v>
      </c>
      <c r="C7" s="87">
        <v>42531</v>
      </c>
      <c r="D7" s="66">
        <v>0</v>
      </c>
      <c r="E7" s="66">
        <v>0</v>
      </c>
      <c r="F7" s="66">
        <v>0.54545454545454541</v>
      </c>
      <c r="G7" s="66">
        <v>0.45454545454545459</v>
      </c>
      <c r="H7" s="67">
        <f t="shared" si="0"/>
        <v>1</v>
      </c>
    </row>
    <row r="8" spans="1:8">
      <c r="A8" s="69" t="s">
        <v>46</v>
      </c>
      <c r="B8" s="65">
        <v>42454</v>
      </c>
      <c r="C8" s="87">
        <v>42545</v>
      </c>
      <c r="D8" s="66">
        <v>0</v>
      </c>
      <c r="E8" s="66">
        <v>0</v>
      </c>
      <c r="F8" s="66">
        <v>0</v>
      </c>
      <c r="G8" s="66">
        <v>1</v>
      </c>
      <c r="H8" s="67">
        <f t="shared" si="0"/>
        <v>1</v>
      </c>
    </row>
    <row r="9" spans="1:8">
      <c r="A9" s="64" t="s">
        <v>47</v>
      </c>
      <c r="B9" s="65">
        <v>42429</v>
      </c>
      <c r="C9" s="87">
        <v>42444</v>
      </c>
      <c r="D9" s="66">
        <v>0</v>
      </c>
      <c r="E9" s="66">
        <v>0</v>
      </c>
      <c r="F9" s="66">
        <v>0</v>
      </c>
      <c r="G9" s="66">
        <v>1</v>
      </c>
      <c r="H9" s="67">
        <f t="shared" si="0"/>
        <v>1</v>
      </c>
    </row>
    <row r="10" spans="1:8">
      <c r="A10" s="64" t="s">
        <v>48</v>
      </c>
      <c r="B10" s="65">
        <v>42569</v>
      </c>
      <c r="C10" s="87">
        <v>42605</v>
      </c>
      <c r="D10" s="66">
        <v>0</v>
      </c>
      <c r="E10" s="66">
        <v>0</v>
      </c>
      <c r="F10" s="66">
        <v>0.27272727272727271</v>
      </c>
      <c r="G10" s="66">
        <v>0.72727272727272729</v>
      </c>
      <c r="H10" s="67">
        <f t="shared" si="0"/>
        <v>1</v>
      </c>
    </row>
    <row r="11" spans="1:8">
      <c r="A11" s="64" t="s">
        <v>49</v>
      </c>
      <c r="B11" s="65">
        <v>42536</v>
      </c>
      <c r="C11" s="87">
        <v>42605</v>
      </c>
      <c r="D11" s="66">
        <v>0</v>
      </c>
      <c r="E11" s="66">
        <v>0</v>
      </c>
      <c r="F11" s="66">
        <v>0</v>
      </c>
      <c r="G11" s="66">
        <v>1</v>
      </c>
      <c r="H11" s="67">
        <f t="shared" si="0"/>
        <v>1</v>
      </c>
    </row>
    <row r="12" spans="1:8">
      <c r="A12" s="64" t="s">
        <v>50</v>
      </c>
      <c r="B12" s="65">
        <v>42506</v>
      </c>
      <c r="C12" s="87">
        <v>42551</v>
      </c>
      <c r="D12" s="66">
        <v>0</v>
      </c>
      <c r="E12" s="66">
        <v>0</v>
      </c>
      <c r="F12" s="66">
        <v>7.1428571428571425E-2</v>
      </c>
      <c r="G12" s="66">
        <v>0.9285714285714286</v>
      </c>
      <c r="H12" s="67">
        <f t="shared" si="0"/>
        <v>1</v>
      </c>
    </row>
    <row r="13" spans="1:8">
      <c r="A13" s="64" t="s">
        <v>51</v>
      </c>
      <c r="B13" s="65">
        <v>42309</v>
      </c>
      <c r="C13" s="87">
        <v>42356</v>
      </c>
      <c r="D13" s="66">
        <v>0.93333333333333335</v>
      </c>
      <c r="E13" s="66">
        <v>0</v>
      </c>
      <c r="F13" s="66">
        <v>6.6666666666666666E-2</v>
      </c>
      <c r="G13" s="66">
        <v>-1.3877787807814457E-17</v>
      </c>
      <c r="H13" s="67">
        <f t="shared" si="0"/>
        <v>1</v>
      </c>
    </row>
    <row r="14" spans="1:8">
      <c r="A14" s="64" t="s">
        <v>52</v>
      </c>
      <c r="B14" s="65">
        <v>42514</v>
      </c>
      <c r="C14" s="87">
        <v>42551</v>
      </c>
      <c r="D14" s="66">
        <v>0</v>
      </c>
      <c r="E14" s="66">
        <v>0</v>
      </c>
      <c r="F14" s="66">
        <v>0</v>
      </c>
      <c r="G14" s="66">
        <v>1</v>
      </c>
      <c r="H14" s="67">
        <f t="shared" si="0"/>
        <v>1</v>
      </c>
    </row>
    <row r="15" spans="1:8">
      <c r="A15" s="64" t="s">
        <v>53</v>
      </c>
      <c r="B15" s="65">
        <v>42309</v>
      </c>
      <c r="C15" s="87">
        <v>42377</v>
      </c>
      <c r="D15" s="66">
        <v>0.93333333333333335</v>
      </c>
      <c r="E15" s="66">
        <v>0</v>
      </c>
      <c r="F15" s="66">
        <v>0</v>
      </c>
      <c r="G15" s="66">
        <v>6.6666666666666652E-2</v>
      </c>
      <c r="H15" s="67">
        <f t="shared" si="0"/>
        <v>1</v>
      </c>
    </row>
    <row r="16" spans="1:8">
      <c r="A16" s="64" t="s">
        <v>54</v>
      </c>
      <c r="B16" s="65">
        <v>42380</v>
      </c>
      <c r="C16" s="87">
        <v>42440</v>
      </c>
      <c r="D16" s="66">
        <v>0</v>
      </c>
      <c r="E16" s="66">
        <v>0</v>
      </c>
      <c r="F16" s="66">
        <v>0</v>
      </c>
      <c r="G16" s="66">
        <v>1</v>
      </c>
      <c r="H16" s="67">
        <f t="shared" si="0"/>
        <v>1</v>
      </c>
    </row>
    <row r="17" spans="1:8">
      <c r="A17" s="69" t="s">
        <v>55</v>
      </c>
      <c r="B17" s="65">
        <v>42377</v>
      </c>
      <c r="C17" s="87">
        <v>42439</v>
      </c>
      <c r="D17" s="66">
        <v>0</v>
      </c>
      <c r="E17" s="66">
        <v>0</v>
      </c>
      <c r="F17" s="66">
        <v>0.125</v>
      </c>
      <c r="G17" s="66">
        <v>0.875</v>
      </c>
      <c r="H17" s="67">
        <f t="shared" si="0"/>
        <v>1</v>
      </c>
    </row>
    <row r="18" spans="1:8">
      <c r="A18" s="70"/>
      <c r="B18" s="65"/>
      <c r="C18" s="65"/>
      <c r="D18" s="66"/>
      <c r="E18" s="66"/>
      <c r="F18" s="66"/>
      <c r="G18" s="66"/>
      <c r="H18" s="67"/>
    </row>
    <row r="19" spans="1:8">
      <c r="A19" s="65"/>
      <c r="B19" s="65"/>
      <c r="C19" s="65"/>
      <c r="D19" s="66"/>
      <c r="E19" s="66"/>
      <c r="F19" s="66"/>
      <c r="G19" s="66"/>
      <c r="H19" s="67"/>
    </row>
    <row r="20" spans="1:8">
      <c r="A20" s="70"/>
      <c r="B20" s="65"/>
      <c r="C20" s="65"/>
      <c r="D20" s="66"/>
      <c r="E20" s="66"/>
      <c r="F20" s="66"/>
      <c r="G20" s="66"/>
      <c r="H20" s="67"/>
    </row>
    <row r="21" spans="1:8">
      <c r="A21" s="70"/>
      <c r="B21" s="65"/>
      <c r="C21" s="65"/>
      <c r="D21" s="70"/>
      <c r="E21" s="70"/>
      <c r="F21" s="70"/>
      <c r="G21" s="70"/>
      <c r="H21" s="67"/>
    </row>
    <row r="22" spans="1:8">
      <c r="A22" s="71"/>
      <c r="B22" s="72"/>
      <c r="C22" s="72"/>
      <c r="D22" s="71"/>
      <c r="E22" s="71"/>
      <c r="F22" s="71"/>
      <c r="G22" s="71"/>
      <c r="H22" s="67"/>
    </row>
    <row r="23" spans="1:8">
      <c r="B23" s="73"/>
      <c r="C23" s="73"/>
      <c r="H23" s="67"/>
    </row>
    <row r="24" spans="1:8">
      <c r="B24" s="73"/>
      <c r="C24" s="73"/>
      <c r="H24" s="67"/>
    </row>
    <row r="25" spans="1:8">
      <c r="B25" s="73"/>
      <c r="C25" s="73"/>
      <c r="H25" s="67"/>
    </row>
    <row r="26" spans="1:8">
      <c r="B26" s="73"/>
      <c r="C26" s="73"/>
      <c r="H26" s="67"/>
    </row>
    <row r="27" spans="1:8">
      <c r="B27" s="73"/>
      <c r="C27" s="73"/>
      <c r="H27" s="67"/>
    </row>
    <row r="28" spans="1:8">
      <c r="B28" s="73"/>
      <c r="C28" s="73"/>
      <c r="H28" s="67"/>
    </row>
    <row r="29" spans="1:8">
      <c r="B29" s="73"/>
      <c r="C29" s="73"/>
      <c r="H29" s="67"/>
    </row>
    <row r="30" spans="1:8">
      <c r="B30" s="73"/>
      <c r="C30" s="73"/>
      <c r="H30" s="67"/>
    </row>
    <row r="31" spans="1:8">
      <c r="B31" s="73"/>
      <c r="C31" s="73"/>
      <c r="H31" s="67"/>
    </row>
    <row r="32" spans="1:8">
      <c r="H32" s="67"/>
    </row>
    <row r="33" spans="8:8">
      <c r="H33" s="67"/>
    </row>
    <row r="34" spans="8:8">
      <c r="H34" s="67"/>
    </row>
  </sheetData>
  <mergeCells count="5">
    <mergeCell ref="A1:A2"/>
    <mergeCell ref="B1:B2"/>
    <mergeCell ref="C1:C2"/>
    <mergeCell ref="D1:G1"/>
    <mergeCell ref="H1:H2"/>
  </mergeCells>
  <phoneticPr fontId="5" type="noConversion"/>
  <conditionalFormatting sqref="H3:H34">
    <cfRule type="cellIs" dxfId="2" priority="1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BC451-93ED-E446-AE59-ED1EBA106547}">
  <sheetPr codeName="Sheet8"/>
  <dimension ref="A1:H34"/>
  <sheetViews>
    <sheetView zoomScale="150" workbookViewId="0">
      <selection activeCell="G22" sqref="G22"/>
    </sheetView>
  </sheetViews>
  <sheetFormatPr baseColWidth="10" defaultColWidth="9" defaultRowHeight="15"/>
  <cols>
    <col min="1" max="1" width="17.5" style="22" bestFit="1" customWidth="1"/>
    <col min="2" max="2" width="12.5" style="22" bestFit="1" customWidth="1"/>
    <col min="3" max="3" width="11.6640625" style="22" bestFit="1" customWidth="1"/>
    <col min="4" max="4" width="9.5" style="22" bestFit="1" customWidth="1"/>
    <col min="5" max="5" width="7.5" style="22" bestFit="1" customWidth="1"/>
    <col min="6" max="6" width="15.1640625" style="22" bestFit="1" customWidth="1"/>
    <col min="7" max="7" width="13.1640625" style="22" customWidth="1"/>
    <col min="8" max="16384" width="9" style="22"/>
  </cols>
  <sheetData>
    <row r="1" spans="1:8">
      <c r="A1" s="82" t="s">
        <v>57</v>
      </c>
      <c r="B1" s="82" t="s">
        <v>69</v>
      </c>
      <c r="C1" s="82" t="s">
        <v>70</v>
      </c>
      <c r="D1" s="84" t="s">
        <v>60</v>
      </c>
      <c r="E1" s="85"/>
      <c r="F1" s="85"/>
      <c r="G1" s="85"/>
      <c r="H1" s="82" t="s">
        <v>71</v>
      </c>
    </row>
    <row r="2" spans="1:8">
      <c r="A2" s="83"/>
      <c r="B2" s="83"/>
      <c r="C2" s="83"/>
      <c r="D2" s="63" t="s">
        <v>18</v>
      </c>
      <c r="E2" s="63" t="s">
        <v>0</v>
      </c>
      <c r="F2" s="63" t="s">
        <v>72</v>
      </c>
      <c r="G2" s="63" t="s">
        <v>73</v>
      </c>
      <c r="H2" s="86"/>
    </row>
    <row r="3" spans="1:8">
      <c r="A3" s="80" t="s">
        <v>41</v>
      </c>
      <c r="B3" s="65">
        <v>42514</v>
      </c>
      <c r="C3" s="65">
        <v>42517</v>
      </c>
      <c r="D3" s="66">
        <v>0</v>
      </c>
      <c r="E3" s="66">
        <v>0</v>
      </c>
      <c r="F3" s="66">
        <v>0</v>
      </c>
      <c r="G3" s="66">
        <v>1</v>
      </c>
      <c r="H3" s="67">
        <f>SUM(D3:G3)</f>
        <v>1</v>
      </c>
    </row>
    <row r="4" spans="1:8">
      <c r="A4" s="68" t="s">
        <v>42</v>
      </c>
      <c r="B4" s="65">
        <v>42416</v>
      </c>
      <c r="C4" s="65">
        <v>42496</v>
      </c>
      <c r="D4" s="66">
        <v>0</v>
      </c>
      <c r="E4" s="66">
        <v>0</v>
      </c>
      <c r="F4" s="66">
        <v>0</v>
      </c>
      <c r="G4" s="66">
        <v>1</v>
      </c>
      <c r="H4" s="67">
        <f t="shared" ref="H4:H17" si="0">SUM(D4:G4)</f>
        <v>1</v>
      </c>
    </row>
    <row r="5" spans="1:8">
      <c r="A5" s="64" t="s">
        <v>43</v>
      </c>
      <c r="B5" s="65">
        <v>42464</v>
      </c>
      <c r="C5" s="65">
        <v>42517</v>
      </c>
      <c r="D5" s="66">
        <v>0</v>
      </c>
      <c r="E5" s="66">
        <v>0</v>
      </c>
      <c r="F5" s="66">
        <v>0</v>
      </c>
      <c r="G5" s="66">
        <v>1</v>
      </c>
      <c r="H5" s="67">
        <f t="shared" si="0"/>
        <v>1</v>
      </c>
    </row>
    <row r="6" spans="1:8">
      <c r="A6" s="64" t="s">
        <v>44</v>
      </c>
      <c r="B6" s="65">
        <v>42499</v>
      </c>
      <c r="C6" s="65">
        <v>42538</v>
      </c>
      <c r="D6" s="66">
        <v>0</v>
      </c>
      <c r="E6" s="66">
        <v>0</v>
      </c>
      <c r="F6" s="66">
        <v>0</v>
      </c>
      <c r="G6" s="66">
        <v>1</v>
      </c>
      <c r="H6" s="67">
        <f t="shared" si="0"/>
        <v>1</v>
      </c>
    </row>
    <row r="7" spans="1:8">
      <c r="A7" s="64" t="s">
        <v>45</v>
      </c>
      <c r="B7" s="65">
        <v>42527</v>
      </c>
      <c r="C7" s="65">
        <v>42531</v>
      </c>
      <c r="D7" s="66">
        <v>0</v>
      </c>
      <c r="E7" s="66">
        <v>0</v>
      </c>
      <c r="F7" s="66">
        <v>1</v>
      </c>
      <c r="G7" s="66">
        <v>0</v>
      </c>
      <c r="H7" s="67">
        <f t="shared" si="0"/>
        <v>1</v>
      </c>
    </row>
    <row r="8" spans="1:8">
      <c r="A8" s="69" t="s">
        <v>46</v>
      </c>
      <c r="B8" s="65">
        <v>42454</v>
      </c>
      <c r="C8" s="65">
        <v>42545</v>
      </c>
      <c r="D8" s="66">
        <v>0</v>
      </c>
      <c r="E8" s="66">
        <v>0</v>
      </c>
      <c r="F8" s="66">
        <v>0</v>
      </c>
      <c r="G8" s="66">
        <v>1</v>
      </c>
      <c r="H8" s="67">
        <f t="shared" si="0"/>
        <v>1</v>
      </c>
    </row>
    <row r="9" spans="1:8">
      <c r="A9" s="64" t="s">
        <v>47</v>
      </c>
      <c r="B9" s="65">
        <v>42429</v>
      </c>
      <c r="C9" s="65">
        <v>42444</v>
      </c>
      <c r="D9" s="66">
        <v>0</v>
      </c>
      <c r="E9" s="66">
        <v>0</v>
      </c>
      <c r="F9" s="66">
        <v>0</v>
      </c>
      <c r="G9" s="66">
        <v>1</v>
      </c>
      <c r="H9" s="67">
        <f t="shared" si="0"/>
        <v>1</v>
      </c>
    </row>
    <row r="10" spans="1:8">
      <c r="A10" s="64" t="s">
        <v>48</v>
      </c>
      <c r="B10" s="65">
        <v>42569</v>
      </c>
      <c r="C10" s="65">
        <v>42605</v>
      </c>
      <c r="D10" s="66">
        <v>0</v>
      </c>
      <c r="E10" s="66">
        <v>0</v>
      </c>
      <c r="F10" s="66">
        <v>0</v>
      </c>
      <c r="G10" s="66">
        <v>1</v>
      </c>
      <c r="H10" s="67">
        <f t="shared" si="0"/>
        <v>1</v>
      </c>
    </row>
    <row r="11" spans="1:8">
      <c r="A11" s="64" t="s">
        <v>49</v>
      </c>
      <c r="B11" s="65">
        <v>42536</v>
      </c>
      <c r="C11" s="65">
        <v>42605</v>
      </c>
      <c r="D11" s="66">
        <v>0</v>
      </c>
      <c r="E11" s="66">
        <v>0</v>
      </c>
      <c r="F11" s="66">
        <v>0</v>
      </c>
      <c r="G11" s="66">
        <v>1</v>
      </c>
      <c r="H11" s="67">
        <f t="shared" si="0"/>
        <v>1</v>
      </c>
    </row>
    <row r="12" spans="1:8">
      <c r="A12" s="64" t="s">
        <v>50</v>
      </c>
      <c r="B12" s="65">
        <v>42506</v>
      </c>
      <c r="C12" s="65">
        <v>42551</v>
      </c>
      <c r="D12" s="66">
        <v>0</v>
      </c>
      <c r="E12" s="66">
        <v>0</v>
      </c>
      <c r="F12" s="66">
        <v>0</v>
      </c>
      <c r="G12" s="66">
        <v>1</v>
      </c>
      <c r="H12" s="67">
        <f t="shared" si="0"/>
        <v>1</v>
      </c>
    </row>
    <row r="13" spans="1:8">
      <c r="A13" s="64" t="s">
        <v>51</v>
      </c>
      <c r="B13" s="65">
        <v>42309</v>
      </c>
      <c r="C13" s="65">
        <v>42356</v>
      </c>
      <c r="D13" s="66">
        <v>0.93333333333333335</v>
      </c>
      <c r="E13" s="66">
        <v>0</v>
      </c>
      <c r="F13" s="66">
        <v>0</v>
      </c>
      <c r="G13" s="66">
        <v>6.6666666666666652E-2</v>
      </c>
      <c r="H13" s="67">
        <f t="shared" si="0"/>
        <v>1</v>
      </c>
    </row>
    <row r="14" spans="1:8">
      <c r="A14" s="64" t="s">
        <v>52</v>
      </c>
      <c r="B14" s="65">
        <v>42514</v>
      </c>
      <c r="C14" s="65">
        <v>42551</v>
      </c>
      <c r="D14" s="66">
        <v>0</v>
      </c>
      <c r="E14" s="66">
        <v>0</v>
      </c>
      <c r="F14" s="66">
        <v>0</v>
      </c>
      <c r="G14" s="66">
        <v>1</v>
      </c>
      <c r="H14" s="67">
        <f t="shared" si="0"/>
        <v>1</v>
      </c>
    </row>
    <row r="15" spans="1:8">
      <c r="A15" s="64" t="s">
        <v>53</v>
      </c>
      <c r="B15" s="65">
        <v>42309</v>
      </c>
      <c r="C15" s="65">
        <v>42377</v>
      </c>
      <c r="D15" s="66">
        <v>0.93333333333333335</v>
      </c>
      <c r="E15" s="66">
        <v>0</v>
      </c>
      <c r="F15" s="66">
        <v>0</v>
      </c>
      <c r="G15" s="66">
        <v>6.6666666666666652E-2</v>
      </c>
      <c r="H15" s="67">
        <f t="shared" si="0"/>
        <v>1</v>
      </c>
    </row>
    <row r="16" spans="1:8">
      <c r="A16" s="64" t="s">
        <v>54</v>
      </c>
      <c r="B16" s="65">
        <v>42380</v>
      </c>
      <c r="C16" s="65">
        <v>42440</v>
      </c>
      <c r="D16" s="66">
        <v>0</v>
      </c>
      <c r="E16" s="66">
        <v>0</v>
      </c>
      <c r="F16" s="66">
        <v>0</v>
      </c>
      <c r="G16" s="66">
        <v>1</v>
      </c>
      <c r="H16" s="67">
        <f t="shared" si="0"/>
        <v>1</v>
      </c>
    </row>
    <row r="17" spans="1:8">
      <c r="A17" s="69" t="s">
        <v>55</v>
      </c>
      <c r="B17" s="65">
        <v>42377</v>
      </c>
      <c r="C17" s="65">
        <v>42439</v>
      </c>
      <c r="D17" s="66">
        <v>0</v>
      </c>
      <c r="E17" s="66">
        <v>0</v>
      </c>
      <c r="F17" s="66">
        <v>0</v>
      </c>
      <c r="G17" s="66">
        <v>1</v>
      </c>
      <c r="H17" s="67">
        <f t="shared" si="0"/>
        <v>1</v>
      </c>
    </row>
    <row r="18" spans="1:8">
      <c r="A18" s="70"/>
      <c r="B18" s="65"/>
      <c r="C18" s="65"/>
      <c r="D18" s="66"/>
      <c r="E18" s="66"/>
      <c r="F18" s="66"/>
      <c r="G18" s="66"/>
      <c r="H18" s="67"/>
    </row>
    <row r="19" spans="1:8">
      <c r="A19" s="65"/>
      <c r="B19" s="65"/>
      <c r="C19" s="65"/>
      <c r="D19" s="66"/>
      <c r="E19" s="66"/>
      <c r="F19" s="66"/>
      <c r="G19" s="66"/>
      <c r="H19" s="67"/>
    </row>
    <row r="20" spans="1:8">
      <c r="A20" s="70"/>
      <c r="B20" s="65"/>
      <c r="C20" s="65"/>
      <c r="D20" s="66"/>
      <c r="E20" s="66"/>
      <c r="F20" s="66"/>
      <c r="G20" s="66"/>
      <c r="H20" s="67"/>
    </row>
    <row r="21" spans="1:8">
      <c r="A21" s="70"/>
      <c r="B21" s="65"/>
      <c r="C21" s="65"/>
      <c r="D21" s="70"/>
      <c r="E21" s="70"/>
      <c r="F21" s="70"/>
      <c r="G21" s="70"/>
      <c r="H21" s="67"/>
    </row>
    <row r="22" spans="1:8">
      <c r="A22" s="71"/>
      <c r="B22" s="72"/>
      <c r="C22" s="72"/>
      <c r="D22" s="71"/>
      <c r="E22" s="71"/>
      <c r="F22" s="71"/>
      <c r="G22" s="71"/>
      <c r="H22" s="67"/>
    </row>
    <row r="23" spans="1:8">
      <c r="B23" s="73"/>
      <c r="C23" s="73"/>
      <c r="H23" s="67"/>
    </row>
    <row r="24" spans="1:8">
      <c r="B24" s="73"/>
      <c r="C24" s="73"/>
      <c r="H24" s="67"/>
    </row>
    <row r="25" spans="1:8">
      <c r="B25" s="73"/>
      <c r="C25" s="73"/>
      <c r="H25" s="67"/>
    </row>
    <row r="26" spans="1:8">
      <c r="B26" s="73"/>
      <c r="C26" s="73"/>
      <c r="H26" s="67"/>
    </row>
    <row r="27" spans="1:8">
      <c r="B27" s="73"/>
      <c r="C27" s="73"/>
      <c r="H27" s="67"/>
    </row>
    <row r="28" spans="1:8">
      <c r="B28" s="73"/>
      <c r="C28" s="73"/>
      <c r="H28" s="67"/>
    </row>
    <row r="29" spans="1:8">
      <c r="B29" s="73"/>
      <c r="C29" s="73"/>
      <c r="H29" s="67"/>
    </row>
    <row r="30" spans="1:8">
      <c r="B30" s="73"/>
      <c r="C30" s="73"/>
      <c r="H30" s="67"/>
    </row>
    <row r="31" spans="1:8">
      <c r="B31" s="73"/>
      <c r="C31" s="73"/>
      <c r="H31" s="67"/>
    </row>
    <row r="32" spans="1:8">
      <c r="H32" s="67"/>
    </row>
    <row r="33" spans="8:8">
      <c r="H33" s="67"/>
    </row>
    <row r="34" spans="8:8">
      <c r="H34" s="67"/>
    </row>
  </sheetData>
  <mergeCells count="5">
    <mergeCell ref="A1:A2"/>
    <mergeCell ref="B1:B2"/>
    <mergeCell ref="C1:C2"/>
    <mergeCell ref="D1:G1"/>
    <mergeCell ref="H1:H2"/>
  </mergeCells>
  <conditionalFormatting sqref="H3:H34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3"/>
  </sheetPr>
  <dimension ref="A1:E242"/>
  <sheetViews>
    <sheetView showGridLines="0" workbookViewId="0">
      <selection activeCell="D11" sqref="D11"/>
    </sheetView>
  </sheetViews>
  <sheetFormatPr baseColWidth="10" defaultColWidth="8.83203125" defaultRowHeight="15"/>
  <cols>
    <col min="1" max="1" width="18.6640625" customWidth="1"/>
    <col min="4" max="4" width="18.5" customWidth="1"/>
    <col min="5" max="5" width="16.1640625" bestFit="1" customWidth="1"/>
  </cols>
  <sheetData>
    <row r="1" spans="1:5">
      <c r="A1" s="2" t="s">
        <v>14</v>
      </c>
    </row>
    <row r="2" spans="1:5" ht="16" thickBot="1"/>
    <row r="3" spans="1:5">
      <c r="A3" s="7" t="s">
        <v>1</v>
      </c>
      <c r="B3" s="8">
        <v>8793</v>
      </c>
      <c r="E3" s="1" t="e">
        <f ca="1">mycountifs(A3:A15,E5,E6,E7)</f>
        <v>#NAME?</v>
      </c>
    </row>
    <row r="4" spans="1:5">
      <c r="A4" s="9" t="s">
        <v>2</v>
      </c>
      <c r="B4" s="4">
        <v>76040</v>
      </c>
    </row>
    <row r="5" spans="1:5">
      <c r="A5" s="9" t="s">
        <v>3</v>
      </c>
      <c r="B5" s="4">
        <v>73533</v>
      </c>
      <c r="E5" s="13" t="s">
        <v>4</v>
      </c>
    </row>
    <row r="6" spans="1:5">
      <c r="A6" s="10" t="s">
        <v>4</v>
      </c>
      <c r="B6" s="5">
        <v>11834</v>
      </c>
      <c r="E6" s="13" t="s">
        <v>8</v>
      </c>
    </row>
    <row r="7" spans="1:5">
      <c r="A7" s="9" t="s">
        <v>5</v>
      </c>
      <c r="B7" s="4">
        <v>21877</v>
      </c>
      <c r="E7" s="13" t="s">
        <v>9</v>
      </c>
    </row>
    <row r="8" spans="1:5">
      <c r="A8" s="9" t="s">
        <v>6</v>
      </c>
      <c r="B8" s="4">
        <v>56803</v>
      </c>
    </row>
    <row r="9" spans="1:5">
      <c r="A9" s="9" t="s">
        <v>7</v>
      </c>
      <c r="B9" s="4">
        <v>24531</v>
      </c>
    </row>
    <row r="10" spans="1:5">
      <c r="A10" s="10" t="s">
        <v>8</v>
      </c>
      <c r="B10" s="5">
        <v>6211</v>
      </c>
      <c r="E10" s="3"/>
    </row>
    <row r="11" spans="1:5">
      <c r="A11" s="10" t="s">
        <v>4</v>
      </c>
      <c r="B11" s="5">
        <v>8614</v>
      </c>
    </row>
    <row r="12" spans="1:5">
      <c r="A12" s="9" t="s">
        <v>5</v>
      </c>
      <c r="B12" s="4">
        <v>60465</v>
      </c>
    </row>
    <row r="13" spans="1:5">
      <c r="A13" s="10" t="s">
        <v>9</v>
      </c>
      <c r="B13" s="5">
        <v>82650</v>
      </c>
    </row>
    <row r="14" spans="1:5">
      <c r="A14" s="9" t="s">
        <v>2</v>
      </c>
      <c r="B14" s="4">
        <v>19270</v>
      </c>
    </row>
    <row r="15" spans="1:5" ht="16" thickBot="1">
      <c r="A15" s="11" t="s">
        <v>10</v>
      </c>
      <c r="B15" s="6">
        <v>65056</v>
      </c>
    </row>
    <row r="18" spans="1:5">
      <c r="A18" s="2" t="s">
        <v>15</v>
      </c>
    </row>
    <row r="19" spans="1:5" ht="16" thickBot="1">
      <c r="A19" s="2"/>
      <c r="D19" t="s">
        <v>23</v>
      </c>
    </row>
    <row r="20" spans="1:5" ht="16">
      <c r="A20" s="14"/>
      <c r="D20" t="s">
        <v>22</v>
      </c>
    </row>
    <row r="21" spans="1:5" ht="16">
      <c r="A21" s="15" t="s">
        <v>16</v>
      </c>
      <c r="D21" t="s">
        <v>17</v>
      </c>
      <c r="E21" s="1">
        <v>174</v>
      </c>
    </row>
    <row r="22" spans="1:5" ht="16">
      <c r="A22" s="15" t="s">
        <v>16</v>
      </c>
      <c r="D22" t="s">
        <v>18</v>
      </c>
      <c r="E22" s="1">
        <v>13</v>
      </c>
    </row>
    <row r="23" spans="1:5" ht="16">
      <c r="A23" s="15" t="s">
        <v>16</v>
      </c>
      <c r="D23" t="s">
        <v>21</v>
      </c>
      <c r="E23" s="1">
        <v>26</v>
      </c>
    </row>
    <row r="24" spans="1:5" ht="16">
      <c r="A24" s="15"/>
      <c r="E24" s="1">
        <v>10</v>
      </c>
    </row>
    <row r="25" spans="1:5" ht="16">
      <c r="A25" s="15"/>
    </row>
    <row r="26" spans="1:5" ht="16">
      <c r="A26" s="15"/>
    </row>
    <row r="27" spans="1:5" ht="16">
      <c r="A27" s="15"/>
    </row>
    <row r="28" spans="1:5" ht="16">
      <c r="A28" s="15"/>
    </row>
    <row r="29" spans="1:5" ht="16">
      <c r="A29" s="15"/>
    </row>
    <row r="30" spans="1:5" ht="16">
      <c r="A30" s="15" t="s">
        <v>16</v>
      </c>
    </row>
    <row r="31" spans="1:5" ht="16">
      <c r="A31" s="15" t="s">
        <v>16</v>
      </c>
    </row>
    <row r="32" spans="1:5" ht="16">
      <c r="A32" s="15"/>
    </row>
    <row r="33" spans="1:1" ht="16">
      <c r="A33" s="15" t="s">
        <v>16</v>
      </c>
    </row>
    <row r="34" spans="1:1" ht="16">
      <c r="A34" s="15" t="s">
        <v>16</v>
      </c>
    </row>
    <row r="35" spans="1:1" ht="16">
      <c r="A35" s="15" t="s">
        <v>16</v>
      </c>
    </row>
    <row r="36" spans="1:1" ht="16">
      <c r="A36" s="15" t="s">
        <v>16</v>
      </c>
    </row>
    <row r="37" spans="1:1" ht="16">
      <c r="A37" s="15" t="s">
        <v>16</v>
      </c>
    </row>
    <row r="38" spans="1:1" ht="16">
      <c r="A38" s="15" t="s">
        <v>16</v>
      </c>
    </row>
    <row r="39" spans="1:1" ht="16">
      <c r="A39" s="15" t="s">
        <v>16</v>
      </c>
    </row>
    <row r="40" spans="1:1" ht="16">
      <c r="A40" s="15" t="s">
        <v>16</v>
      </c>
    </row>
    <row r="41" spans="1:1" ht="16">
      <c r="A41" s="15" t="s">
        <v>16</v>
      </c>
    </row>
    <row r="42" spans="1:1" ht="16">
      <c r="A42" s="15" t="s">
        <v>16</v>
      </c>
    </row>
    <row r="43" spans="1:1" ht="16">
      <c r="A43" s="15" t="s">
        <v>16</v>
      </c>
    </row>
    <row r="44" spans="1:1" ht="16">
      <c r="A44" s="15" t="s">
        <v>16</v>
      </c>
    </row>
    <row r="45" spans="1:1" ht="16">
      <c r="A45" s="15"/>
    </row>
    <row r="46" spans="1:1" ht="16">
      <c r="A46" s="15" t="s">
        <v>16</v>
      </c>
    </row>
    <row r="47" spans="1:1" ht="16">
      <c r="A47" s="15" t="s">
        <v>16</v>
      </c>
    </row>
    <row r="48" spans="1:1" ht="16">
      <c r="A48" s="15"/>
    </row>
    <row r="49" spans="1:1" ht="16">
      <c r="A49" s="15" t="s">
        <v>16</v>
      </c>
    </row>
    <row r="50" spans="1:1" ht="16">
      <c r="A50" s="15" t="s">
        <v>16</v>
      </c>
    </row>
    <row r="51" spans="1:1" ht="16">
      <c r="A51" s="15" t="s">
        <v>16</v>
      </c>
    </row>
    <row r="52" spans="1:1" ht="16">
      <c r="A52" s="15" t="s">
        <v>16</v>
      </c>
    </row>
    <row r="53" spans="1:1" ht="16">
      <c r="A53" s="15"/>
    </row>
    <row r="54" spans="1:1" ht="16">
      <c r="A54" s="15" t="s">
        <v>16</v>
      </c>
    </row>
    <row r="55" spans="1:1" ht="16">
      <c r="A55" s="15" t="s">
        <v>16</v>
      </c>
    </row>
    <row r="56" spans="1:1" ht="16">
      <c r="A56" s="15"/>
    </row>
    <row r="57" spans="1:1" ht="16">
      <c r="A57" s="15"/>
    </row>
    <row r="58" spans="1:1" ht="16">
      <c r="A58" s="15"/>
    </row>
    <row r="59" spans="1:1" ht="16">
      <c r="A59" s="15"/>
    </row>
    <row r="60" spans="1:1" ht="16">
      <c r="A60" s="15"/>
    </row>
    <row r="61" spans="1:1" ht="16">
      <c r="A61" s="15"/>
    </row>
    <row r="62" spans="1:1" ht="16">
      <c r="A62" s="15"/>
    </row>
    <row r="63" spans="1:1" ht="16">
      <c r="A63" s="15"/>
    </row>
    <row r="64" spans="1:1" ht="16">
      <c r="A64" s="15"/>
    </row>
    <row r="65" spans="1:1" ht="16">
      <c r="A65" s="15"/>
    </row>
    <row r="66" spans="1:1" ht="16">
      <c r="A66" s="15" t="s">
        <v>16</v>
      </c>
    </row>
    <row r="67" spans="1:1" ht="16">
      <c r="A67" s="15" t="s">
        <v>16</v>
      </c>
    </row>
    <row r="68" spans="1:1" ht="16">
      <c r="A68" s="15" t="s">
        <v>16</v>
      </c>
    </row>
    <row r="69" spans="1:1" ht="16">
      <c r="A69" s="15"/>
    </row>
    <row r="70" spans="1:1" ht="16">
      <c r="A70" s="15" t="s">
        <v>16</v>
      </c>
    </row>
    <row r="71" spans="1:1" ht="16">
      <c r="A71" s="15"/>
    </row>
    <row r="72" spans="1:1" ht="16">
      <c r="A72" s="15" t="s">
        <v>16</v>
      </c>
    </row>
    <row r="73" spans="1:1" ht="16">
      <c r="A73" s="15"/>
    </row>
    <row r="74" spans="1:1" ht="16">
      <c r="A74" s="15" t="s">
        <v>16</v>
      </c>
    </row>
    <row r="75" spans="1:1" ht="16">
      <c r="A75" s="15" t="s">
        <v>16</v>
      </c>
    </row>
    <row r="76" spans="1:1" ht="16">
      <c r="A76" s="15" t="s">
        <v>16</v>
      </c>
    </row>
    <row r="77" spans="1:1" ht="16">
      <c r="A77" s="15" t="s">
        <v>16</v>
      </c>
    </row>
    <row r="78" spans="1:1" ht="16">
      <c r="A78" s="15" t="s">
        <v>16</v>
      </c>
    </row>
    <row r="79" spans="1:1" ht="16">
      <c r="A79" s="15" t="s">
        <v>16</v>
      </c>
    </row>
    <row r="80" spans="1:1" ht="16">
      <c r="A80" s="15" t="s">
        <v>16</v>
      </c>
    </row>
    <row r="81" spans="1:1" ht="16">
      <c r="A81" s="15" t="s">
        <v>16</v>
      </c>
    </row>
    <row r="82" spans="1:1" ht="16">
      <c r="A82" s="15"/>
    </row>
    <row r="83" spans="1:1" ht="16">
      <c r="A83" s="15"/>
    </row>
    <row r="84" spans="1:1" ht="16">
      <c r="A84" s="15"/>
    </row>
    <row r="85" spans="1:1" ht="16">
      <c r="A85" s="15"/>
    </row>
    <row r="86" spans="1:1" ht="16">
      <c r="A86" s="15" t="s">
        <v>16</v>
      </c>
    </row>
    <row r="87" spans="1:1" ht="16">
      <c r="A87" s="15" t="s">
        <v>16</v>
      </c>
    </row>
    <row r="88" spans="1:1" ht="16">
      <c r="A88" s="15" t="s">
        <v>16</v>
      </c>
    </row>
    <row r="89" spans="1:1" ht="16">
      <c r="A89" s="15" t="s">
        <v>16</v>
      </c>
    </row>
    <row r="90" spans="1:1" ht="16">
      <c r="A90" s="15" t="s">
        <v>16</v>
      </c>
    </row>
    <row r="91" spans="1:1" ht="16">
      <c r="A91" s="15" t="s">
        <v>17</v>
      </c>
    </row>
    <row r="92" spans="1:1" ht="16">
      <c r="A92" s="15" t="s">
        <v>17</v>
      </c>
    </row>
    <row r="93" spans="1:1" ht="16">
      <c r="A93" s="15" t="s">
        <v>17</v>
      </c>
    </row>
    <row r="94" spans="1:1" ht="16">
      <c r="A94" s="15" t="s">
        <v>17</v>
      </c>
    </row>
    <row r="95" spans="1:1" ht="16">
      <c r="A95" s="15" t="s">
        <v>17</v>
      </c>
    </row>
    <row r="96" spans="1:1" ht="16">
      <c r="A96" s="15" t="s">
        <v>17</v>
      </c>
    </row>
    <row r="97" spans="1:1" ht="16">
      <c r="A97" s="15"/>
    </row>
    <row r="98" spans="1:1" ht="16">
      <c r="A98" s="15"/>
    </row>
    <row r="99" spans="1:1" ht="16">
      <c r="A99" s="15"/>
    </row>
    <row r="100" spans="1:1" ht="16">
      <c r="A100" s="15"/>
    </row>
    <row r="101" spans="1:1" ht="16">
      <c r="A101" s="15"/>
    </row>
    <row r="102" spans="1:1" ht="16">
      <c r="A102" s="15" t="s">
        <v>0</v>
      </c>
    </row>
    <row r="103" spans="1:1" ht="16">
      <c r="A103" s="15" t="s">
        <v>0</v>
      </c>
    </row>
    <row r="104" spans="1:1" ht="16">
      <c r="A104" s="15" t="s">
        <v>0</v>
      </c>
    </row>
    <row r="105" spans="1:1" ht="16">
      <c r="A105" s="15" t="s">
        <v>0</v>
      </c>
    </row>
    <row r="106" spans="1:1" ht="16">
      <c r="A106" s="15" t="s">
        <v>0</v>
      </c>
    </row>
    <row r="107" spans="1:1" ht="16">
      <c r="A107" s="15" t="s">
        <v>0</v>
      </c>
    </row>
    <row r="108" spans="1:1" ht="16">
      <c r="A108" s="15" t="s">
        <v>0</v>
      </c>
    </row>
    <row r="109" spans="1:1" ht="16">
      <c r="A109" s="15"/>
    </row>
    <row r="110" spans="1:1" ht="16">
      <c r="A110" s="15"/>
    </row>
    <row r="111" spans="1:1" ht="16">
      <c r="A111" s="15"/>
    </row>
    <row r="112" spans="1:1" ht="16">
      <c r="A112" s="15"/>
    </row>
    <row r="113" spans="1:1" ht="16">
      <c r="A113" s="15"/>
    </row>
    <row r="114" spans="1:1" ht="16">
      <c r="A114" s="15"/>
    </row>
    <row r="115" spans="1:1" ht="16">
      <c r="A115" s="15" t="s">
        <v>16</v>
      </c>
    </row>
    <row r="116" spans="1:1" ht="16">
      <c r="A116" s="15" t="s">
        <v>16</v>
      </c>
    </row>
    <row r="117" spans="1:1" ht="16">
      <c r="A117" s="15" t="s">
        <v>16</v>
      </c>
    </row>
    <row r="118" spans="1:1" ht="16">
      <c r="A118" s="15" t="s">
        <v>16</v>
      </c>
    </row>
    <row r="119" spans="1:1" ht="16">
      <c r="A119" s="15" t="s">
        <v>16</v>
      </c>
    </row>
    <row r="120" spans="1:1" ht="16">
      <c r="A120" s="15" t="s">
        <v>16</v>
      </c>
    </row>
    <row r="121" spans="1:1" ht="16">
      <c r="A121" s="15" t="s">
        <v>16</v>
      </c>
    </row>
    <row r="122" spans="1:1" ht="16">
      <c r="A122" s="15" t="s">
        <v>16</v>
      </c>
    </row>
    <row r="123" spans="1:1" ht="16">
      <c r="A123" s="15" t="s">
        <v>16</v>
      </c>
    </row>
    <row r="124" spans="1:1" ht="16">
      <c r="A124" s="15" t="s">
        <v>16</v>
      </c>
    </row>
    <row r="125" spans="1:1" ht="16">
      <c r="A125" s="15" t="s">
        <v>0</v>
      </c>
    </row>
    <row r="126" spans="1:1" ht="16">
      <c r="A126" s="15" t="s">
        <v>16</v>
      </c>
    </row>
    <row r="127" spans="1:1" ht="16">
      <c r="A127" s="15" t="s">
        <v>16</v>
      </c>
    </row>
    <row r="128" spans="1:1" ht="16">
      <c r="A128" s="15" t="s">
        <v>16</v>
      </c>
    </row>
    <row r="129" spans="1:1" ht="16">
      <c r="A129" s="15" t="s">
        <v>16</v>
      </c>
    </row>
    <row r="130" spans="1:1" ht="16">
      <c r="A130" s="15" t="s">
        <v>16</v>
      </c>
    </row>
    <row r="131" spans="1:1" ht="16">
      <c r="A131" s="15" t="s">
        <v>16</v>
      </c>
    </row>
    <row r="132" spans="1:1" ht="16">
      <c r="A132" s="15" t="s">
        <v>16</v>
      </c>
    </row>
    <row r="133" spans="1:1" ht="16">
      <c r="A133" s="15"/>
    </row>
    <row r="134" spans="1:1" ht="16">
      <c r="A134" s="15" t="s">
        <v>16</v>
      </c>
    </row>
    <row r="135" spans="1:1" ht="16">
      <c r="A135" s="15" t="s">
        <v>16</v>
      </c>
    </row>
    <row r="136" spans="1:1" ht="16">
      <c r="A136" s="15" t="s">
        <v>16</v>
      </c>
    </row>
    <row r="137" spans="1:1" ht="16">
      <c r="A137" s="15" t="s">
        <v>16</v>
      </c>
    </row>
    <row r="138" spans="1:1" ht="16">
      <c r="A138" s="15" t="s">
        <v>16</v>
      </c>
    </row>
    <row r="139" spans="1:1" ht="16">
      <c r="A139" s="15"/>
    </row>
    <row r="140" spans="1:1" ht="16">
      <c r="A140" s="15" t="s">
        <v>17</v>
      </c>
    </row>
    <row r="141" spans="1:1" ht="16">
      <c r="A141" s="15" t="s">
        <v>17</v>
      </c>
    </row>
    <row r="142" spans="1:1" ht="16">
      <c r="A142" s="15" t="s">
        <v>17</v>
      </c>
    </row>
    <row r="143" spans="1:1" ht="16">
      <c r="A143" s="15" t="s">
        <v>16</v>
      </c>
    </row>
    <row r="144" spans="1:1" ht="16">
      <c r="A144" s="15" t="s">
        <v>16</v>
      </c>
    </row>
    <row r="145" spans="1:1" ht="16">
      <c r="A145" s="15" t="s">
        <v>16</v>
      </c>
    </row>
    <row r="146" spans="1:1" ht="16">
      <c r="A146" s="15"/>
    </row>
    <row r="147" spans="1:1" ht="16">
      <c r="A147" s="15"/>
    </row>
    <row r="148" spans="1:1" ht="16">
      <c r="A148" s="15" t="s">
        <v>16</v>
      </c>
    </row>
    <row r="149" spans="1:1" ht="16">
      <c r="A149" s="15" t="s">
        <v>16</v>
      </c>
    </row>
    <row r="150" spans="1:1" ht="16">
      <c r="A150" s="15" t="s">
        <v>16</v>
      </c>
    </row>
    <row r="151" spans="1:1" ht="16">
      <c r="A151" s="15" t="s">
        <v>16</v>
      </c>
    </row>
    <row r="152" spans="1:1" ht="16">
      <c r="A152" s="15" t="s">
        <v>16</v>
      </c>
    </row>
    <row r="153" spans="1:1" ht="16">
      <c r="A153" s="15" t="s">
        <v>16</v>
      </c>
    </row>
    <row r="154" spans="1:1" ht="16">
      <c r="A154" s="15"/>
    </row>
    <row r="155" spans="1:1" ht="16">
      <c r="A155" s="15" t="s">
        <v>19</v>
      </c>
    </row>
    <row r="156" spans="1:1" ht="16">
      <c r="A156" s="15" t="s">
        <v>16</v>
      </c>
    </row>
    <row r="157" spans="1:1" ht="16">
      <c r="A157" s="15" t="s">
        <v>16</v>
      </c>
    </row>
    <row r="158" spans="1:1" ht="16">
      <c r="A158" s="15" t="s">
        <v>16</v>
      </c>
    </row>
    <row r="159" spans="1:1" ht="16">
      <c r="A159" s="15" t="s">
        <v>16</v>
      </c>
    </row>
    <row r="160" spans="1:1" ht="16">
      <c r="A160" s="15" t="s">
        <v>16</v>
      </c>
    </row>
    <row r="161" spans="1:1" ht="16">
      <c r="A161" s="15" t="s">
        <v>16</v>
      </c>
    </row>
    <row r="162" spans="1:1" ht="16">
      <c r="A162" s="15"/>
    </row>
    <row r="163" spans="1:1" ht="16">
      <c r="A163" s="15"/>
    </row>
    <row r="164" spans="1:1" ht="16">
      <c r="A164" s="15"/>
    </row>
    <row r="165" spans="1:1" ht="16">
      <c r="A165" s="15" t="s">
        <v>16</v>
      </c>
    </row>
    <row r="166" spans="1:1" ht="16">
      <c r="A166" s="15"/>
    </row>
    <row r="167" spans="1:1" ht="16">
      <c r="A167" s="15"/>
    </row>
    <row r="168" spans="1:1" ht="16">
      <c r="A168" s="15"/>
    </row>
    <row r="169" spans="1:1" ht="16">
      <c r="A169" s="15" t="s">
        <v>18</v>
      </c>
    </row>
    <row r="170" spans="1:1" ht="16">
      <c r="A170" s="15" t="s">
        <v>18</v>
      </c>
    </row>
    <row r="171" spans="1:1" ht="16">
      <c r="A171" s="15" t="s">
        <v>18</v>
      </c>
    </row>
    <row r="172" spans="1:1" ht="16">
      <c r="A172" s="15" t="s">
        <v>18</v>
      </c>
    </row>
    <row r="173" spans="1:1" ht="16">
      <c r="A173" s="15" t="s">
        <v>18</v>
      </c>
    </row>
    <row r="174" spans="1:1" ht="16">
      <c r="A174" s="15" t="s">
        <v>18</v>
      </c>
    </row>
    <row r="175" spans="1:1" ht="16">
      <c r="A175" s="15" t="s">
        <v>18</v>
      </c>
    </row>
    <row r="176" spans="1:1" ht="16">
      <c r="A176" s="15" t="s">
        <v>18</v>
      </c>
    </row>
    <row r="177" spans="1:1" ht="16">
      <c r="A177" s="15" t="s">
        <v>18</v>
      </c>
    </row>
    <row r="178" spans="1:1" ht="16">
      <c r="A178" s="15" t="s">
        <v>18</v>
      </c>
    </row>
    <row r="179" spans="1:1" ht="16">
      <c r="A179" s="15" t="s">
        <v>0</v>
      </c>
    </row>
    <row r="180" spans="1:1" ht="16">
      <c r="A180" s="15" t="s">
        <v>18</v>
      </c>
    </row>
    <row r="181" spans="1:1" ht="16">
      <c r="A181" s="15" t="s">
        <v>18</v>
      </c>
    </row>
    <row r="182" spans="1:1" ht="16">
      <c r="A182" s="15" t="s">
        <v>18</v>
      </c>
    </row>
    <row r="183" spans="1:1" ht="16">
      <c r="A183" s="15" t="s">
        <v>17</v>
      </c>
    </row>
    <row r="184" spans="1:1" ht="16">
      <c r="A184" s="15"/>
    </row>
    <row r="185" spans="1:1" ht="16">
      <c r="A185" s="15"/>
    </row>
    <row r="186" spans="1:1" ht="16">
      <c r="A186" s="15" t="s">
        <v>16</v>
      </c>
    </row>
    <row r="187" spans="1:1" ht="16">
      <c r="A187" s="15" t="s">
        <v>16</v>
      </c>
    </row>
    <row r="188" spans="1:1" ht="16">
      <c r="A188" s="15" t="s">
        <v>16</v>
      </c>
    </row>
    <row r="189" spans="1:1" ht="16">
      <c r="A189" s="15" t="s">
        <v>16</v>
      </c>
    </row>
    <row r="190" spans="1:1" ht="16">
      <c r="A190" s="15"/>
    </row>
    <row r="191" spans="1:1" ht="16">
      <c r="A191" s="15"/>
    </row>
    <row r="192" spans="1:1" ht="16">
      <c r="A192" s="15"/>
    </row>
    <row r="193" spans="1:1" ht="16">
      <c r="A193" s="15" t="s">
        <v>16</v>
      </c>
    </row>
    <row r="194" spans="1:1" ht="16">
      <c r="A194" s="15"/>
    </row>
    <row r="195" spans="1:1" ht="16">
      <c r="A195" s="15"/>
    </row>
    <row r="196" spans="1:1" ht="16">
      <c r="A196" s="15"/>
    </row>
    <row r="197" spans="1:1" ht="16">
      <c r="A197" s="15" t="s">
        <v>16</v>
      </c>
    </row>
    <row r="198" spans="1:1" ht="16">
      <c r="A198" s="15" t="s">
        <v>16</v>
      </c>
    </row>
    <row r="199" spans="1:1" ht="16">
      <c r="A199" s="15" t="s">
        <v>18</v>
      </c>
    </row>
    <row r="200" spans="1:1" ht="16">
      <c r="A200" s="15" t="s">
        <v>18</v>
      </c>
    </row>
    <row r="201" spans="1:1" ht="16">
      <c r="A201" s="15" t="s">
        <v>18</v>
      </c>
    </row>
    <row r="202" spans="1:1" ht="16">
      <c r="A202" s="15" t="s">
        <v>18</v>
      </c>
    </row>
    <row r="203" spans="1:1" ht="16">
      <c r="A203" s="15" t="s">
        <v>20</v>
      </c>
    </row>
    <row r="204" spans="1:1" ht="16">
      <c r="A204" s="15" t="s">
        <v>18</v>
      </c>
    </row>
    <row r="205" spans="1:1" ht="16">
      <c r="A205" s="15" t="s">
        <v>0</v>
      </c>
    </row>
    <row r="206" spans="1:1" ht="16">
      <c r="A206" s="15" t="s">
        <v>18</v>
      </c>
    </row>
    <row r="207" spans="1:1" ht="16">
      <c r="A207" s="15" t="s">
        <v>18</v>
      </c>
    </row>
    <row r="208" spans="1:1" ht="16">
      <c r="A208" s="15" t="s">
        <v>18</v>
      </c>
    </row>
    <row r="209" spans="1:1" ht="16">
      <c r="A209" s="15" t="s">
        <v>18</v>
      </c>
    </row>
    <row r="210" spans="1:1" ht="16">
      <c r="A210" s="15" t="s">
        <v>18</v>
      </c>
    </row>
    <row r="211" spans="1:1" ht="16">
      <c r="A211" s="15" t="s">
        <v>18</v>
      </c>
    </row>
    <row r="212" spans="1:1" ht="16">
      <c r="A212" s="15" t="s">
        <v>18</v>
      </c>
    </row>
    <row r="213" spans="1:1" ht="16">
      <c r="A213" s="15"/>
    </row>
    <row r="214" spans="1:1" ht="16">
      <c r="A214" s="15" t="s">
        <v>16</v>
      </c>
    </row>
    <row r="215" spans="1:1" ht="16">
      <c r="A215" s="15" t="s">
        <v>16</v>
      </c>
    </row>
    <row r="216" spans="1:1" ht="16">
      <c r="A216" s="15"/>
    </row>
    <row r="217" spans="1:1" ht="16">
      <c r="A217" s="15"/>
    </row>
    <row r="218" spans="1:1" ht="16">
      <c r="A218" s="15"/>
    </row>
    <row r="219" spans="1:1" ht="16">
      <c r="A219" s="15" t="s">
        <v>16</v>
      </c>
    </row>
    <row r="220" spans="1:1" ht="16">
      <c r="A220" s="15" t="s">
        <v>16</v>
      </c>
    </row>
    <row r="221" spans="1:1" ht="16">
      <c r="A221" s="15" t="s">
        <v>16</v>
      </c>
    </row>
    <row r="222" spans="1:1" ht="16">
      <c r="A222" s="15" t="s">
        <v>16</v>
      </c>
    </row>
    <row r="223" spans="1:1" ht="16">
      <c r="A223" s="15" t="s">
        <v>16</v>
      </c>
    </row>
    <row r="224" spans="1:1" ht="16">
      <c r="A224" s="15" t="s">
        <v>16</v>
      </c>
    </row>
    <row r="225" spans="1:1" ht="16">
      <c r="A225" s="15" t="s">
        <v>16</v>
      </c>
    </row>
    <row r="226" spans="1:1" ht="16">
      <c r="A226" s="15" t="s">
        <v>16</v>
      </c>
    </row>
    <row r="227" spans="1:1" ht="16">
      <c r="A227" s="15" t="s">
        <v>16</v>
      </c>
    </row>
    <row r="228" spans="1:1" ht="16">
      <c r="A228" s="15" t="s">
        <v>16</v>
      </c>
    </row>
    <row r="229" spans="1:1" ht="16">
      <c r="A229" s="15"/>
    </row>
    <row r="230" spans="1:1" ht="16">
      <c r="A230" s="15" t="s">
        <v>16</v>
      </c>
    </row>
    <row r="231" spans="1:1" ht="16">
      <c r="A231" s="15" t="s">
        <v>16</v>
      </c>
    </row>
    <row r="232" spans="1:1" ht="16">
      <c r="A232" s="15" t="s">
        <v>16</v>
      </c>
    </row>
    <row r="233" spans="1:1" ht="16">
      <c r="A233" s="15" t="s">
        <v>16</v>
      </c>
    </row>
    <row r="234" spans="1:1" ht="16">
      <c r="A234" s="15" t="s">
        <v>16</v>
      </c>
    </row>
    <row r="235" spans="1:1" ht="16">
      <c r="A235" s="15" t="s">
        <v>17</v>
      </c>
    </row>
    <row r="236" spans="1:1" ht="16">
      <c r="A236" s="15" t="s">
        <v>16</v>
      </c>
    </row>
    <row r="237" spans="1:1" ht="16">
      <c r="A237" s="15" t="s">
        <v>16</v>
      </c>
    </row>
    <row r="238" spans="1:1" ht="16">
      <c r="A238" s="15"/>
    </row>
    <row r="239" spans="1:1" ht="16">
      <c r="A239" s="15" t="s">
        <v>16</v>
      </c>
    </row>
    <row r="240" spans="1:1" ht="16">
      <c r="A240" s="15" t="s">
        <v>16</v>
      </c>
    </row>
    <row r="241" spans="1:1" ht="16">
      <c r="A241" s="15" t="s">
        <v>17</v>
      </c>
    </row>
    <row r="242" spans="1:1" ht="17" thickBot="1">
      <c r="A242" s="16" t="s">
        <v>16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UserInteraction</vt:lpstr>
      <vt:lpstr>NestedLoop</vt:lpstr>
      <vt:lpstr>Timeline</vt:lpstr>
      <vt:lpstr>StatusReport</vt:lpstr>
      <vt:lpstr>Original sheet</vt:lpstr>
      <vt:lpstr>Homework</vt:lpstr>
      <vt:lpstr>ReportRange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Elvis Chen</dc:creator>
  <cp:lastModifiedBy>Microsoft Office User</cp:lastModifiedBy>
  <dcterms:created xsi:type="dcterms:W3CDTF">2016-07-14T05:40:38Z</dcterms:created>
  <dcterms:modified xsi:type="dcterms:W3CDTF">2019-10-21T20:47:19Z</dcterms:modified>
</cp:coreProperties>
</file>